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HP\Desktop\Microsoft Excel\"/>
    </mc:Choice>
  </mc:AlternateContent>
  <xr:revisionPtr revIDLastSave="0" documentId="13_ncr:1_{609CC660-632F-4955-8E58-07A5A0CB6ACE}" xr6:coauthVersionLast="47" xr6:coauthVersionMax="47" xr10:uidLastSave="{00000000-0000-0000-0000-000000000000}"/>
  <bookViews>
    <workbookView xWindow="-108" yWindow="-108" windowWidth="23256" windowHeight="13176" activeTab="2" xr2:uid="{6477B83E-DA56-4820-9D30-6706AEAF4EFE}"/>
  </bookViews>
  <sheets>
    <sheet name="Pivot Table" sheetId="2" r:id="rId1"/>
    <sheet name="Database" sheetId="1" r:id="rId2"/>
    <sheet name="Dashboard" sheetId="4" r:id="rId3"/>
  </sheets>
  <definedNames>
    <definedName name="_xlnm._FilterDatabase" localSheetId="1" hidden="1">Database!$A$1:$S$1</definedName>
    <definedName name="_xlchart.v1.0" hidden="1">'Pivot Table'!$U$3:$U$5</definedName>
    <definedName name="_xlchart.v1.1" hidden="1">'Pivot Table'!$V$3:$V$5</definedName>
    <definedName name="Slicer_Month">#N/A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3" i="2" l="1" a="1"/>
  <c r="AL3" i="2" s="1"/>
  <c r="BH3" i="2" a="1"/>
  <c r="BH3" i="2" s="1"/>
  <c r="BF3" i="2" s="1"/>
  <c r="BG3" i="2" a="1"/>
  <c r="BG3" i="2" s="1"/>
  <c r="AZ4" i="2"/>
  <c r="AZ3" i="2"/>
  <c r="AM3" i="2" a="1"/>
  <c r="AM3" i="2" s="1"/>
  <c r="AE3" i="2" a="1"/>
  <c r="AE3" i="2" s="1"/>
  <c r="AC3" i="2" s="1"/>
  <c r="AD3" i="2" a="1"/>
  <c r="AD3" i="2" s="1"/>
  <c r="V3" i="2" a="1"/>
  <c r="V3" i="2" s="1"/>
  <c r="T3" i="2" s="1"/>
  <c r="U3" i="2" a="1"/>
  <c r="U3" i="2" s="1"/>
  <c r="M3" i="2" a="1"/>
  <c r="M3" i="2" s="1"/>
  <c r="L3" i="2" a="1"/>
  <c r="L3" i="2" s="1"/>
  <c r="E3" i="2" a="1"/>
  <c r="E3" i="2" s="1"/>
  <c r="D3" i="2" a="1"/>
  <c r="D3" i="2" s="1"/>
  <c r="AZ5" i="2" l="1"/>
  <c r="BF5" i="2"/>
  <c r="BF4" i="2"/>
  <c r="AC10" i="2"/>
  <c r="AC9" i="2"/>
  <c r="AC19" i="2"/>
  <c r="AC18" i="2"/>
  <c r="AC17" i="2"/>
  <c r="AC16" i="2"/>
  <c r="AC15" i="2"/>
  <c r="AC14" i="2"/>
  <c r="AC13" i="2"/>
  <c r="AC12" i="2"/>
  <c r="AC11" i="2"/>
  <c r="AC7" i="2"/>
  <c r="AC6" i="2"/>
  <c r="AC8" i="2"/>
  <c r="AC5" i="2"/>
  <c r="AC4" i="2"/>
  <c r="T4" i="2"/>
  <c r="Q2" i="2" s="1"/>
  <c r="T5" i="2"/>
  <c r="BD2" i="2" l="1"/>
  <c r="Z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<sst xmlns="http://schemas.openxmlformats.org/spreadsheetml/2006/main" count="12444" uniqueCount="1824">
  <si>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</si>
  <si>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</si>
  <si>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</si>
  <si>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</si>
  <si>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</si>
  <si>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</si>
  <si>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</si>
  <si>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</si>
  <si>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</si>
  <si>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</si>
  <si>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</si>
  <si>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</si>
  <si>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</si>
  <si>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</si>
  <si>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</si>
  <si>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</si>
  <si>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</si>
  <si>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</si>
  <si>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</si>
  <si>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Nov</t>
  </si>
  <si>
    <t>Second Class</t>
  </si>
  <si>
    <t>Claire Gute</t>
  </si>
  <si>
    <t>Consumer</t>
  </si>
  <si>
    <t>United States</t>
  </si>
  <si>
    <t>Henderson</t>
  </si>
  <si>
    <t>Kentucky</t>
  </si>
  <si>
    <t>South</t>
  </si>
  <si>
    <t>Furniture</t>
  </si>
  <si>
    <t>Bookcases</t>
  </si>
  <si>
    <t>Bush Somerset Collection Bookcase</t>
  </si>
  <si>
    <t>Chairs</t>
  </si>
  <si>
    <t>Hon Deluxe Fabric Upholstered Stacking Chairs, Rounded Back</t>
  </si>
  <si>
    <t>13-06-2013</t>
  </si>
  <si>
    <t>Jun</t>
  </si>
  <si>
    <t>17-06-2013</t>
  </si>
  <si>
    <t>Darrin Van Huff</t>
  </si>
  <si>
    <t>Corporate</t>
  </si>
  <si>
    <t>Los Angeles</t>
  </si>
  <si>
    <t>California</t>
  </si>
  <si>
    <t>West</t>
  </si>
  <si>
    <t>Office Supplies</t>
  </si>
  <si>
    <t>Labels</t>
  </si>
  <si>
    <t>Self-Adhesive Address Labels for Typewriters by Universal</t>
  </si>
  <si>
    <t>Oct</t>
  </si>
  <si>
    <t>18-10-2012</t>
  </si>
  <si>
    <t>Standard Class</t>
  </si>
  <si>
    <t>Sean O'Donnell</t>
  </si>
  <si>
    <t>Fort Lauderdale</t>
  </si>
  <si>
    <t>Florida</t>
  </si>
  <si>
    <t>Tables</t>
  </si>
  <si>
    <t>Bretford CR4500 Series Slim Rectangular Table</t>
  </si>
  <si>
    <t>Storage</t>
  </si>
  <si>
    <t>Eldon Fold 'N Roll Cart System</t>
  </si>
  <si>
    <t>14-06-2011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</si>
  <si>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</si>
  <si>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</si>
  <si>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</si>
  <si>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</si>
  <si>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</si>
  <si>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</si>
  <si>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</si>
  <si>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</si>
  <si>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</si>
  <si>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</si>
  <si>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</si>
  <si>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</si>
  <si>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</si>
  <si>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</si>
  <si>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16-04-2014</t>
  </si>
  <si>
    <t>Apr</t>
  </si>
  <si>
    <t>21-04-2014</t>
  </si>
  <si>
    <t>Andrew Allen</t>
  </si>
  <si>
    <t>Concord</t>
  </si>
  <si>
    <t>North Carolina</t>
  </si>
  <si>
    <t>Paper</t>
  </si>
  <si>
    <t>Xerox 1967</t>
  </si>
  <si>
    <t>Dec</t>
  </si>
  <si>
    <t>Irene Maddox</t>
  </si>
  <si>
    <t>Seattle</t>
  </si>
  <si>
    <t>Washington</t>
  </si>
  <si>
    <t>Fellowes PB200 Plastic Comb Binding Machine</t>
  </si>
  <si>
    <t>22-11-2012</t>
  </si>
  <si>
    <t>26-11-2012</t>
  </si>
  <si>
    <t>Harold Pawlan</t>
  </si>
  <si>
    <t>Home Office</t>
  </si>
  <si>
    <t>Fort Worth</t>
  </si>
  <si>
    <t>Texas</t>
  </si>
  <si>
    <t>Central</t>
  </si>
  <si>
    <t>Holmes Replacement Filter for HEPA Air Cleaner, Very Large Room, HEPA Filter</t>
  </si>
  <si>
    <t>Storex DuraTech Recycled Plastic Frosted Binders</t>
  </si>
  <si>
    <t>18-11-2011</t>
  </si>
  <si>
    <t>Pete Kriz</t>
  </si>
  <si>
    <t>Madison</t>
  </si>
  <si>
    <t>Wisconsin</t>
  </si>
  <si>
    <t>Stur-D-Stor Shelving, Vertical 5-Shelf: 72"H x 36"W x 18 1/2"D</t>
  </si>
  <si>
    <t>13-05-2011</t>
  </si>
  <si>
    <t>May</t>
  </si>
  <si>
    <t>15-05-2011</t>
  </si>
  <si>
    <t>Alejandro Grove</t>
  </si>
  <si>
    <t>West Jordan</t>
  </si>
  <si>
    <t>Utah</t>
  </si>
  <si>
    <t>Fellowes Super Stor/Drawer</t>
  </si>
  <si>
    <t>27-08-2011</t>
  </si>
  <si>
    <t>Aug</t>
  </si>
  <si>
    <t>Zuschuss Donatelli</t>
  </si>
  <si>
    <t>San Francisco</t>
  </si>
  <si>
    <t>Newell 341</t>
  </si>
  <si>
    <t>Cisco SPA 501G IP Phone</t>
  </si>
  <si>
    <t>Wilson Jones Hanging View Binder, White, 1"</t>
  </si>
  <si>
    <t>14-12-2013</t>
  </si>
  <si>
    <t>Ken Black</t>
  </si>
  <si>
    <t>Fremont</t>
  </si>
  <si>
    <t>Nebraska</t>
  </si>
  <si>
    <t>Newell 318</t>
  </si>
  <si>
    <t>Acco Six-Outlet Power Strip, 4' Cord Length</t>
  </si>
  <si>
    <t>17-07-2014</t>
  </si>
  <si>
    <t>Jul</t>
  </si>
  <si>
    <t>19-07-2014</t>
  </si>
  <si>
    <t>Sandra Flanagan</t>
  </si>
  <si>
    <t>Philadelphia</t>
  </si>
  <si>
    <t>Pennsylvania</t>
  </si>
  <si>
    <t>East</t>
  </si>
  <si>
    <t>Global Deluxe Stacking Chair, Gray</t>
  </si>
  <si>
    <t>25-09-2012</t>
  </si>
  <si>
    <t>Sep</t>
  </si>
  <si>
    <t>30-09-2012</t>
  </si>
  <si>
    <t>Emily Burns</t>
  </si>
  <si>
    <t>Orem</t>
  </si>
  <si>
    <t>16-01-2013</t>
  </si>
  <si>
    <t>Jan</t>
  </si>
  <si>
    <t>20-01-2013</t>
  </si>
  <si>
    <t>Eric Hoffmann</t>
  </si>
  <si>
    <t>Wilson Jones Active Use Binders</t>
  </si>
  <si>
    <t>Accessories</t>
  </si>
  <si>
    <t>Imation 8GB Mini TravelDrive USB 2.0 Flash Drive</t>
  </si>
  <si>
    <t>17-09-2012</t>
  </si>
  <si>
    <t>21-09-2012</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</si>
  <si>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</si>
  <si>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</si>
  <si>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</si>
  <si>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</si>
  <si>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</si>
  <si>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</si>
  <si>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</si>
  <si>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</si>
  <si>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</si>
  <si>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20-10-2014</t>
  </si>
  <si>
    <t>24-10-2014</t>
  </si>
  <si>
    <t>Matt Abelman</t>
  </si>
  <si>
    <t>Houston</t>
  </si>
  <si>
    <t>Staples</t>
  </si>
  <si>
    <t>First Class</t>
  </si>
  <si>
    <t>Gene Hale</t>
  </si>
  <si>
    <t>Richardson</t>
  </si>
  <si>
    <t>GE 30524EE4</t>
  </si>
  <si>
    <t>Electrix Architect's Clamp-On Swing Arm Lamp, Black</t>
  </si>
  <si>
    <t>27-12-2012</t>
  </si>
  <si>
    <t>31-12-2012</t>
  </si>
  <si>
    <t>Steve Nguyen</t>
  </si>
  <si>
    <t>#10-4 1/8" x 9 1/2" Premium Diagonal Seam Envelopes</t>
  </si>
  <si>
    <t>Atlantic Metals Mobile 3-Shelf Bookcases, Custom Colors</t>
  </si>
  <si>
    <t>Global Fabric Manager's Chair, Dark Gray</t>
  </si>
  <si>
    <t>Plantronics HL10 Handset Lifter</t>
  </si>
  <si>
    <t>16-09-2014</t>
  </si>
  <si>
    <t>Linda Cazamias</t>
  </si>
  <si>
    <t>Naperville</t>
  </si>
  <si>
    <t>Illinois</t>
  </si>
  <si>
    <t>Panasonic Kx-TS550</t>
  </si>
  <si>
    <t>18-07-2013</t>
  </si>
  <si>
    <t>23-07-2013</t>
  </si>
  <si>
    <t>Ruben Ausman</t>
  </si>
  <si>
    <t>Eldon Base for stackable storage shelf, platinum</t>
  </si>
  <si>
    <t>20-09-2014</t>
  </si>
  <si>
    <t>24-09-2014</t>
  </si>
  <si>
    <t>Erin Smith</t>
  </si>
  <si>
    <t>Melbourne</t>
  </si>
  <si>
    <t>Advantus 10-Drawer Portable Organizer, Chrome Metal Frame, Smoke Drawers</t>
  </si>
  <si>
    <t>Mar</t>
  </si>
  <si>
    <t>14-03-2013</t>
  </si>
  <si>
    <t>Odella Nelson</t>
  </si>
  <si>
    <t>Eagan</t>
  </si>
  <si>
    <t>Minnesota</t>
  </si>
  <si>
    <t>Verbatim 25 GB 6x Blu-ray Single Layer Recordable Disc, 25/Pack</t>
  </si>
  <si>
    <t>Wilson Jones Leather-Like Binders with DublLock Round Rings</t>
  </si>
  <si>
    <t>20-10-2011</t>
  </si>
  <si>
    <t>25-10-2011</t>
  </si>
  <si>
    <t>Patrick O'Donnell</t>
  </si>
  <si>
    <t>Westland</t>
  </si>
  <si>
    <t>Michigan</t>
  </si>
  <si>
    <t>Gould Plastics 9-Pocket Panel Bin, 18-3/8w x 5-1/4d x 20-1/2h, Black</t>
  </si>
  <si>
    <t>21-06-2013</t>
  </si>
  <si>
    <t>26-06-2013</t>
  </si>
  <si>
    <t>Lena Hernandez</t>
  </si>
  <si>
    <t>Dover</t>
  </si>
  <si>
    <t>Delaware</t>
  </si>
  <si>
    <t>Imation 8gb Micro Traveldrive Usb 2.0 Flash Drive</t>
  </si>
  <si>
    <t>LF Elite 3D Dazzle Designer Hard Case Cover, Lf Stylus Pen and Wiper For Apple Iphone 5c Mini Lite</t>
  </si>
  <si>
    <t>18-04-2012</t>
  </si>
  <si>
    <t>22-04-2012</t>
  </si>
  <si>
    <t>Darren Powers</t>
  </si>
  <si>
    <t>New Albany</t>
  </si>
  <si>
    <t>Indiana</t>
  </si>
  <si>
    <t>C-Line Peel &amp; Stick Add-On Filing Pockets, 8-3/4 x 5-1/8, 10/Pack</t>
  </si>
  <si>
    <t>Avery 485</t>
  </si>
  <si>
    <t>Longer-Life Soft White Bulbs</t>
  </si>
  <si>
    <t>Global Leather Task Chair, Black</t>
  </si>
  <si>
    <t>18-12-2013</t>
  </si>
  <si>
    <t>Janet Molinari</t>
  </si>
  <si>
    <t>New York City</t>
  </si>
  <si>
    <t>New York</t>
  </si>
  <si>
    <t>Fasteners</t>
  </si>
  <si>
    <t>Advantus Push Pins</t>
  </si>
  <si>
    <t>AT&amp;T CL83451 4-Handset Telephone</t>
  </si>
  <si>
    <t>18-06-2013</t>
  </si>
  <si>
    <t>19-06-2013</t>
  </si>
  <si>
    <t>Ted Butterfield</t>
  </si>
  <si>
    <t>Troy</t>
  </si>
  <si>
    <t>Home/Office Personal File Carts</t>
  </si>
  <si>
    <t>Xerox 232</t>
  </si>
  <si>
    <t>Novimex Turbo Task Chair</t>
  </si>
  <si>
    <t>Array Parchment Paper, Assorted Colors</t>
  </si>
  <si>
    <t>Plastic Binding Combs</t>
  </si>
  <si>
    <t>Prang Dustless Chalk Sticks</t>
  </si>
  <si>
    <t>24-11-2012</t>
  </si>
  <si>
    <t>30-11-2012</t>
  </si>
  <si>
    <t>Kunst Miller</t>
  </si>
  <si>
    <t>Verbatim 25 GB 6x Blu-ray Single Layer Recordable Disc, 3/Pack</t>
  </si>
  <si>
    <t>Acco PRESSTEX Data Binder with Storage Hooks, Dark Blue, 14 7/8" X 11"</t>
  </si>
  <si>
    <t>Xerox 1943</t>
  </si>
  <si>
    <t>Luxo Economy Swing Arm Lamp</t>
  </si>
  <si>
    <t>30-04-2012</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</si>
  <si>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</si>
  <si>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</si>
  <si>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</si>
  <si>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</si>
  <si>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</si>
  <si>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</si>
  <si>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</si>
  <si>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</si>
  <si>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</si>
  <si>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</si>
  <si>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</si>
  <si>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</si>
  <si>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19-09-2013</t>
  </si>
  <si>
    <t>24-09-2013</t>
  </si>
  <si>
    <t>Henry MacAllister</t>
  </si>
  <si>
    <t>Avery Binding System Hidden Tab Executive Style Index Sets</t>
  </si>
  <si>
    <t>15-09-2014</t>
  </si>
  <si>
    <t>18-09-2014</t>
  </si>
  <si>
    <t>Jackson</t>
  </si>
  <si>
    <t>Telephone Message Books with Fax/Mobile Section, 5 1/2" x 3 3/16"</t>
  </si>
  <si>
    <t>26-04-2012</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</si>
  <si>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</si>
  <si>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</si>
  <si>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</si>
  <si>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</si>
  <si>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</si>
  <si>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</si>
  <si>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</si>
  <si>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</si>
  <si>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</si>
  <si>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</si>
  <si>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26-11-2011</t>
  </si>
  <si>
    <t>Eldon Expressions Desk Accessory, Wood Pencil Holder, Oak</t>
  </si>
  <si>
    <t>16-06-2013</t>
  </si>
  <si>
    <t>Stewart Carmichael</t>
  </si>
  <si>
    <t>Decatur</t>
  </si>
  <si>
    <t>Alabama</t>
  </si>
  <si>
    <t>1.7 Cubic Foot Compact "Cube" Office Refrigerators</t>
  </si>
  <si>
    <t>Avery Heavy-Duty EZD  Binder With Locking Rings</t>
  </si>
  <si>
    <t>16-10-2011</t>
  </si>
  <si>
    <t>Duane Noonan</t>
  </si>
  <si>
    <t>Premium Writing Pencils, Soft, #2 by Central Association for the Blind</t>
  </si>
  <si>
    <t>Sortfiler Multipurpose Personal File Organizer, Black</t>
  </si>
  <si>
    <t>Julie Creighton</t>
  </si>
  <si>
    <t>Durham</t>
  </si>
  <si>
    <t>Jet-Pak Recycled Peel 'N' Seal Padded Mailers</t>
  </si>
  <si>
    <t>14-11-2014</t>
  </si>
  <si>
    <t>17-11-2014</t>
  </si>
  <si>
    <t>Christopher Schild</t>
  </si>
  <si>
    <t>Safco Industrial Wire Shelving</t>
  </si>
  <si>
    <t>29-05-2014</t>
  </si>
  <si>
    <t>31-05-2014</t>
  </si>
  <si>
    <t>Columbia</t>
  </si>
  <si>
    <t>South Carolina</t>
  </si>
  <si>
    <t>Novimex Swivel Fabric Task Chair</t>
  </si>
  <si>
    <t>27-10-2014</t>
  </si>
  <si>
    <t>Paul Gonzalez</t>
  </si>
  <si>
    <t>Rochester</t>
  </si>
  <si>
    <t>Logitech LS21 Speaker System - PC Multimedia - 2.1-CH - Wired</t>
  </si>
  <si>
    <t>Avery 511</t>
  </si>
  <si>
    <t>Gary Mitchum</t>
  </si>
  <si>
    <t>Eldon Portable Mobile Manager</t>
  </si>
  <si>
    <t>18-09-2013</t>
  </si>
  <si>
    <t>23-09-2013</t>
  </si>
  <si>
    <t>Jim Sink</t>
  </si>
  <si>
    <t>Turquoise Lead Holder with Pocket Clip</t>
  </si>
  <si>
    <t>Xerox 1995</t>
  </si>
  <si>
    <t>31-01-2012</t>
  </si>
  <si>
    <t>Karl Braun</t>
  </si>
  <si>
    <t>Minneapolis</t>
  </si>
  <si>
    <t>Xerox 1999</t>
  </si>
  <si>
    <t>Seth Thomas 13 1/2" Wall Clock</t>
  </si>
  <si>
    <t>Ibico Standard Transparent Covers</t>
  </si>
  <si>
    <t>13-11-2014</t>
  </si>
  <si>
    <t>Roger Barcio</t>
  </si>
  <si>
    <t>Portland</t>
  </si>
  <si>
    <t>Oregon</t>
  </si>
  <si>
    <t>Flexible Leather- Look Classic Collection Ring Binder</t>
  </si>
  <si>
    <t>Parhena Norris</t>
  </si>
  <si>
    <t>9-3/4 Diameter Round Wall Clock</t>
  </si>
  <si>
    <t>18-06-2014</t>
  </si>
  <si>
    <t>21-06-2014</t>
  </si>
  <si>
    <t>Katherine Ducich</t>
  </si>
  <si>
    <t>Trimflex Flexible Post Binders</t>
  </si>
  <si>
    <t>Elpida Rittenbach</t>
  </si>
  <si>
    <t>Saint Paul</t>
  </si>
  <si>
    <t>Fellowes Basic Home/Office Series Surge Protectors</t>
  </si>
  <si>
    <t>30-08-2013</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</si>
  <si>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</si>
  <si>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</si>
  <si>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</si>
  <si>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</si>
  <si>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</si>
  <si>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</si>
  <si>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13-11-2012</t>
  </si>
  <si>
    <t>17-11-2012</t>
  </si>
  <si>
    <t>Lena Cacioppo</t>
  </si>
  <si>
    <t>Aurora</t>
  </si>
  <si>
    <t>Colorado</t>
  </si>
  <si>
    <t>Logitech K350 2.4Ghz Wireless Keyboard</t>
  </si>
  <si>
    <t>Deflect-o DuraMat Lighweight, Studded, Beveled Mat for Low Pile Carpeting</t>
  </si>
  <si>
    <t>Avery Trapezoid Ring Binder, 3" Capacity, Black, 1040 sheets</t>
  </si>
  <si>
    <t>24-11-2014</t>
  </si>
  <si>
    <t>29-11-2014</t>
  </si>
  <si>
    <t>Janet Martin</t>
  </si>
  <si>
    <t>Charlotte</t>
  </si>
  <si>
    <t>Memorex Mini Travel Drive 8 GB USB 2.0 Flash Drive</t>
  </si>
  <si>
    <t>Speck Products Candyshell Flip Case</t>
  </si>
  <si>
    <t>Newell Chalk Holder</t>
  </si>
  <si>
    <t>15-10-2012</t>
  </si>
  <si>
    <t>20-10-2012</t>
  </si>
  <si>
    <t>Pete Armstrong</t>
  </si>
  <si>
    <t>Orland Park</t>
  </si>
  <si>
    <t>Logitech Gaming G510s - Keyboard</t>
  </si>
  <si>
    <t>26-12-2014</t>
  </si>
  <si>
    <t>31-12-2014</t>
  </si>
  <si>
    <t>Cynthia Voltz</t>
  </si>
  <si>
    <t>Magnifier Swing Arm Lamp</t>
  </si>
  <si>
    <t>Clay Ludtke</t>
  </si>
  <si>
    <t>Urbandale</t>
  </si>
  <si>
    <t>Iowa</t>
  </si>
  <si>
    <t>Hunt PowerHouse Electric Pencil Sharpener, Blue</t>
  </si>
  <si>
    <t>Avery Durable Plastic 1" Binders</t>
  </si>
  <si>
    <t>25-08-2011</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</si>
  <si>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</si>
  <si>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</si>
  <si>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</si>
  <si>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</si>
  <si>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</si>
  <si>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</si>
  <si>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</si>
  <si>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</si>
  <si>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</si>
  <si>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</si>
  <si>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</si>
  <si>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</si>
  <si>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</si>
  <si>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</si>
  <si>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</si>
  <si>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</si>
  <si>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</si>
  <si>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</si>
  <si>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26-12-2011</t>
  </si>
  <si>
    <t>28-12-2011</t>
  </si>
  <si>
    <t>Alan Dominguez</t>
  </si>
  <si>
    <t>Global Deluxe High-Back Manager's Chair</t>
  </si>
  <si>
    <t>20-09-2011</t>
  </si>
  <si>
    <t>25-09-2011</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</si>
  <si>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</si>
  <si>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</si>
  <si>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</si>
  <si>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</si>
  <si>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</si>
  <si>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</si>
  <si>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</si>
  <si>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</si>
  <si>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</si>
  <si>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</si>
  <si>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</si>
  <si>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</si>
  <si>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</si>
  <si>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</si>
  <si>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14-10-2013</t>
  </si>
  <si>
    <t>20-10-2013</t>
  </si>
  <si>
    <t>Lena Creighton</t>
  </si>
  <si>
    <t>Roseville</t>
  </si>
  <si>
    <t>Xerox 195</t>
  </si>
  <si>
    <t>Xerox 1880</t>
  </si>
  <si>
    <t>Sanford Colorific Colored Pencils, 12/Box</t>
  </si>
  <si>
    <t>Ideal Clamps</t>
  </si>
  <si>
    <t>GBC Wire Binding Strips</t>
  </si>
  <si>
    <t>Supplies</t>
  </si>
  <si>
    <t>Fiskars Softgrip Scissors</t>
  </si>
  <si>
    <t>Jonathan Doherty</t>
  </si>
  <si>
    <t>19-09-2014</t>
  </si>
  <si>
    <t>Sally Hughsby</t>
  </si>
  <si>
    <t>Newell 343</t>
  </si>
  <si>
    <t>Convenience Packs of Business Envelopes</t>
  </si>
  <si>
    <t>Xerox 1911</t>
  </si>
  <si>
    <t>23-12-2014</t>
  </si>
  <si>
    <t>28-12-2014</t>
  </si>
  <si>
    <t>Sandra Glassco</t>
  </si>
  <si>
    <t>Independence</t>
  </si>
  <si>
    <t>Missouri</t>
  </si>
  <si>
    <t>Sanyo 2.5 Cubic Foot Mid-Size Office Refrigerators</t>
  </si>
  <si>
    <t>Helen Andreada</t>
  </si>
  <si>
    <t>Pasadena</t>
  </si>
  <si>
    <t>22-10-2011</t>
  </si>
  <si>
    <t>28-10-2011</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</si>
  <si>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</si>
  <si>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</si>
  <si>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</si>
  <si>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</si>
  <si>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</si>
  <si>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</si>
  <si>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</si>
  <si>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</si>
  <si>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17-03-2013</t>
  </si>
  <si>
    <t>Tamara Willingham</t>
  </si>
  <si>
    <t>Scottsdale</t>
  </si>
  <si>
    <t>Belkin 7 Outlet SurgeMaster Surge Protector with Phone Protection</t>
  </si>
  <si>
    <t>Jabra BIZ 2300 Duo QD Duo Corded Headset</t>
  </si>
  <si>
    <t>31-05-2012</t>
  </si>
  <si>
    <t>Stephanie Phelps</t>
  </si>
  <si>
    <t>San Jose</t>
  </si>
  <si>
    <t>Southworth 25% Cotton Antique Laid Paper &amp; Envelopes</t>
  </si>
  <si>
    <t>Xerox 1883</t>
  </si>
  <si>
    <t>Tenex Personal Project File with Scoop Front Design, Black</t>
  </si>
  <si>
    <t>28-05-2012</t>
  </si>
  <si>
    <t>Neil Knudson</t>
  </si>
  <si>
    <t>Newell 311</t>
  </si>
  <si>
    <t>Dave Brooks</t>
  </si>
  <si>
    <t>21-11-2013</t>
  </si>
  <si>
    <t>25-11-2013</t>
  </si>
  <si>
    <t>Nora Paige</t>
  </si>
  <si>
    <t>Edmond</t>
  </si>
  <si>
    <t>Oklahoma</t>
  </si>
  <si>
    <t>Avery 519</t>
  </si>
  <si>
    <t>Avaya 5420 Digital phone</t>
  </si>
  <si>
    <t>13-05-2013</t>
  </si>
  <si>
    <t>Ted Trevino</t>
  </si>
  <si>
    <t>Xerox 1920</t>
  </si>
  <si>
    <t>28-12-2012</t>
  </si>
  <si>
    <t>Eric Murdock</t>
  </si>
  <si>
    <t>Lenovo 17-Key USB Numeric Keypad</t>
  </si>
  <si>
    <t>17-11-2013</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</si>
  <si>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</si>
  <si>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</si>
  <si>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</si>
  <si>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</si>
  <si>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</si>
  <si>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</si>
  <si>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</si>
  <si>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</si>
  <si>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</si>
  <si>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</si>
  <si>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</si>
  <si>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</si>
  <si>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</si>
  <si>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</si>
  <si>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</si>
  <si>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</si>
  <si>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</si>
  <si>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</si>
  <si>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</si>
  <si>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14-09-2011</t>
  </si>
  <si>
    <t>19-09-2011</t>
  </si>
  <si>
    <t>Jennifer Braxton</t>
  </si>
  <si>
    <t>Kensington 7 Outlet MasterPiece HOMEOFFICE Power Control Center</t>
  </si>
  <si>
    <t>Avery 51</t>
  </si>
  <si>
    <t>22-04-2014</t>
  </si>
  <si>
    <t>26-04-2014</t>
  </si>
  <si>
    <t>Shirley Jackson</t>
  </si>
  <si>
    <t>Acco 7-Outlet Masterpiece Power Center, Wihtout Fax/Phone Line Protection</t>
  </si>
  <si>
    <t>21-11-2012</t>
  </si>
  <si>
    <t>23-11-2012</t>
  </si>
  <si>
    <t>Padded Folding Chairs, Black, 4/Carton</t>
  </si>
  <si>
    <t>Acme Rosewood Handle Letter Opener</t>
  </si>
  <si>
    <t>15-12-2012</t>
  </si>
  <si>
    <t>19-12-2012</t>
  </si>
  <si>
    <t>Jim Kriz</t>
  </si>
  <si>
    <t>Sanford Colorific Eraseable Coloring Pencils, 12 Count</t>
  </si>
  <si>
    <t>David Kendrick</t>
  </si>
  <si>
    <t>Tenex File Box, Personal Filing Tote with Lid, Black</t>
  </si>
  <si>
    <t>Imation Secure+ Hardware Encrypted USB 2.0 Flash Drive; 16GB</t>
  </si>
  <si>
    <t>19-11-2011</t>
  </si>
  <si>
    <t>24-11-2011</t>
  </si>
  <si>
    <t>Robert Marley</t>
  </si>
  <si>
    <t>Monroe</t>
  </si>
  <si>
    <t>Louisiana</t>
  </si>
  <si>
    <t>AT&amp;T TR1909W</t>
  </si>
  <si>
    <t>Nokia Lumia 521 (T-Mobile)</t>
  </si>
  <si>
    <t>HP Standard 104 key PS/2 Keyboard</t>
  </si>
  <si>
    <t>29-11-2013</t>
  </si>
  <si>
    <t>Sally Knutson</t>
  </si>
  <si>
    <t>Fairfield</t>
  </si>
  <si>
    <t>Connecticut</t>
  </si>
  <si>
    <t>Avery Poly Binder Pockets</t>
  </si>
  <si>
    <t>26-08-2011</t>
  </si>
  <si>
    <t>30-08-2011</t>
  </si>
  <si>
    <t>Frank Merwin</t>
  </si>
  <si>
    <t>SanDisk Ultra 32 GB MicroSDHC Class 10 Memory Card</t>
  </si>
  <si>
    <t>17-07-2013</t>
  </si>
  <si>
    <t>Alice McCarthy</t>
  </si>
  <si>
    <t>Grand Prairie</t>
  </si>
  <si>
    <t>Personal Filing Tote with Lid, Black/Gray</t>
  </si>
  <si>
    <t>14-10-2012</t>
  </si>
  <si>
    <t>Mark Packer</t>
  </si>
  <si>
    <t>Atlantic Metals Mobile 4-Shelf Bookcases, Custom Colors</t>
  </si>
  <si>
    <t>I Need's 3d Hello Kitty Hybrid Silicone Case Cover for HTC One X 4g with 3d Hello Kitty Stylus Pen Green/pink</t>
  </si>
  <si>
    <t>Xerox 205</t>
  </si>
  <si>
    <t>4009 Highlighters by Sanford</t>
  </si>
  <si>
    <t>31-10-2012</t>
  </si>
  <si>
    <t>Mary Zewe</t>
  </si>
  <si>
    <t>Redlands</t>
  </si>
  <si>
    <t>21-03-2011</t>
  </si>
  <si>
    <t>25-03-2011</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</si>
  <si>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</si>
  <si>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</si>
  <si>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</si>
  <si>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</si>
  <si>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</si>
  <si>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</si>
  <si>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</si>
  <si>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</si>
  <si>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14-07-2014</t>
  </si>
  <si>
    <t>Fred Hopkins</t>
  </si>
  <si>
    <t>Pressboard Covers with Storage Hooks, 9 1/2" x 11", Light Blue</t>
  </si>
  <si>
    <t>Wirebound Message Books, 5-1/2 x 4 Forms, 2 or 4 Forms per Page</t>
  </si>
  <si>
    <t>25-06-2014</t>
  </si>
  <si>
    <t>30-06-2014</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</si>
  <si>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</si>
  <si>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</si>
  <si>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</si>
  <si>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</si>
  <si>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</si>
  <si>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</si>
  <si>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</si>
  <si>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18-12-2014</t>
  </si>
  <si>
    <t>22-12-2014</t>
  </si>
  <si>
    <t>Logan Currie</t>
  </si>
  <si>
    <t>Dallas</t>
  </si>
  <si>
    <t>Eureka Sanitaire  Commercial Upright</t>
  </si>
  <si>
    <t>Heather Kirkland</t>
  </si>
  <si>
    <t>Eldon 200 Class Desk Accessories, Burgundy</t>
  </si>
  <si>
    <t>15-12-2014</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</si>
  <si>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</si>
  <si>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</si>
  <si>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</si>
  <si>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</si>
  <si>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</si>
  <si>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</si>
  <si>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</si>
  <si>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</si>
  <si>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</si>
  <si>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13-02-2012</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</si>
  <si>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</si>
  <si>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</si>
  <si>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</si>
  <si>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</si>
  <si>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</si>
  <si>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</si>
  <si>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</si>
  <si>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</si>
  <si>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29-10-2013</t>
  </si>
  <si>
    <t>Jonathan Howell</t>
  </si>
  <si>
    <t>Adtran 1202752G1</t>
  </si>
  <si>
    <t>24-12-2012</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</si>
  <si>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</si>
  <si>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</si>
  <si>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</si>
  <si>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</si>
  <si>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</si>
  <si>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</si>
  <si>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</si>
  <si>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16-08-2012</t>
  </si>
  <si>
    <t>David Smith</t>
  </si>
  <si>
    <t>Detroit</t>
  </si>
  <si>
    <t>Sanford Uni-Blazer View Highlighters, Chisel Tip, Yellow</t>
  </si>
  <si>
    <t>Bevis 36 x 72 Conference Tables</t>
  </si>
  <si>
    <t>Rogers Deluxe File Chest</t>
  </si>
  <si>
    <t>28-02-2012</t>
  </si>
  <si>
    <t>Valerie Dominguez</t>
  </si>
  <si>
    <t>Global Low Back Tilter Chair</t>
  </si>
  <si>
    <t>Global Push Button Manager's Chair, Indigo</t>
  </si>
  <si>
    <t>13-09-2011</t>
  </si>
  <si>
    <t>17-09-2011</t>
  </si>
  <si>
    <t>Erin Ashbrook</t>
  </si>
  <si>
    <t>GBC Instant Index System for Binding Systems</t>
  </si>
  <si>
    <t>13-04-2014</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</si>
  <si>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</si>
  <si>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</si>
  <si>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</si>
  <si>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</si>
  <si>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</si>
  <si>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</si>
  <si>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</si>
  <si>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</si>
  <si>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</si>
  <si>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</si>
  <si>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</si>
  <si>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</si>
  <si>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</si>
  <si>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</si>
  <si>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</si>
  <si>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</si>
  <si>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</si>
  <si>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</si>
  <si>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</si>
  <si>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16-12-2013</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</si>
  <si>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</si>
  <si>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</si>
  <si>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</si>
  <si>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</si>
  <si>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</si>
  <si>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</si>
  <si>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</si>
  <si>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</si>
  <si>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28-11-2012</t>
  </si>
  <si>
    <t>Dan Reichenbach</t>
  </si>
  <si>
    <t>Belkin 19" Vented Equipment Shelf, Black</t>
  </si>
  <si>
    <t>Logitech Mobile Speakerphone P710e - speaker phone</t>
  </si>
  <si>
    <t>Craig Carreira</t>
  </si>
  <si>
    <t>Sabrent 4-Port USB 2.0 Hub</t>
  </si>
  <si>
    <t>Safco Industrial Shelving</t>
  </si>
  <si>
    <t>Acco 3-Hole Punch</t>
  </si>
  <si>
    <t>13-06-2014</t>
  </si>
  <si>
    <t>Dorris liebe</t>
  </si>
  <si>
    <t>Eureka Disposable Bags for Sanitaire Vibra Groomer I Upright Vac</t>
  </si>
  <si>
    <t>21-09-2011</t>
  </si>
  <si>
    <t>Sean Braxton</t>
  </si>
  <si>
    <t>Xerox WorkCentre 6505DN Laser Multifunction Printer</t>
  </si>
  <si>
    <t>14-06-2013</t>
  </si>
  <si>
    <t>Roy Collins</t>
  </si>
  <si>
    <t>Cisco Small Business SPA 502G VoIP phone</t>
  </si>
  <si>
    <t>15-11-2012</t>
  </si>
  <si>
    <t>Alan Hwang</t>
  </si>
  <si>
    <t>Brentwood</t>
  </si>
  <si>
    <t>Microsoft Sculpt Comfort Mouse</t>
  </si>
  <si>
    <t>17-06-2014</t>
  </si>
  <si>
    <t>Claudia Bergmann</t>
  </si>
  <si>
    <t>Chapel Hill</t>
  </si>
  <si>
    <t>Quartet Omega Colored Chalk, 12/Pack</t>
  </si>
  <si>
    <t>22-01-2013</t>
  </si>
  <si>
    <t>28-01-2013</t>
  </si>
  <si>
    <t>Morristown</t>
  </si>
  <si>
    <t>Bagged Rubber Bands</t>
  </si>
  <si>
    <t>14-12-2014</t>
  </si>
  <si>
    <t>Christine Abelman</t>
  </si>
  <si>
    <t>Cincinnati</t>
  </si>
  <si>
    <t>Safco Commercial Shelving</t>
  </si>
  <si>
    <t>Recycled Interoffice Envelopes with String and Button Closure, 10 x 13</t>
  </si>
  <si>
    <t>29-12-2014</t>
  </si>
  <si>
    <t>Kristen Hastings</t>
  </si>
  <si>
    <t>Adjustable Depth Letter/Legal Cart</t>
  </si>
  <si>
    <t>30-07-2012</t>
  </si>
  <si>
    <t>31-07-2012</t>
  </si>
  <si>
    <t>Logitech 910-002974 M325 Wireless Mouse for Web Scrolling</t>
  </si>
  <si>
    <t>Regeneration Desk Collection</t>
  </si>
  <si>
    <t>Presstex Flexible Ring Binders</t>
  </si>
  <si>
    <t>17-09-2014</t>
  </si>
  <si>
    <t>Barry Blumstein</t>
  </si>
  <si>
    <t>Inglewood</t>
  </si>
  <si>
    <t>Ampad Gold Fibre Wirebound Steno Books, 6" x 9", Gregg Ruled</t>
  </si>
  <si>
    <t>Newell 330</t>
  </si>
  <si>
    <t>14-10-2014</t>
  </si>
  <si>
    <t>18-10-2014</t>
  </si>
  <si>
    <t>Andrew Gjertsen</t>
  </si>
  <si>
    <t>Post-it “Important Message” Note Pad, Neon Colors, 50 Sheets/Pad</t>
  </si>
  <si>
    <t>Adams Write n' Stick Phone Message Book, 11" X 5 1/4", 200 Messages</t>
  </si>
  <si>
    <t>Eldon Simplefile Box Office</t>
  </si>
  <si>
    <t>Avery 489</t>
  </si>
  <si>
    <t>26-09-2012</t>
  </si>
  <si>
    <t>28-09-2012</t>
  </si>
  <si>
    <t>Round Ring Binders</t>
  </si>
  <si>
    <t>Bose SoundLink Bluetooth Speaker</t>
  </si>
  <si>
    <t>Jas O'Carroll</t>
  </si>
  <si>
    <t>Bevis Round Bullnose 29" High Table Top</t>
  </si>
  <si>
    <t>Microsoft Arc Touch Mouse</t>
  </si>
  <si>
    <t>Xerox 216</t>
  </si>
  <si>
    <t>19-12-2013</t>
  </si>
  <si>
    <t>21-12-2013</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</si>
  <si>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</si>
  <si>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</si>
  <si>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</si>
  <si>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</si>
  <si>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</si>
  <si>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</si>
  <si>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</si>
  <si>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</si>
  <si>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</si>
  <si>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</si>
  <si>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</si>
  <si>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</si>
  <si>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</si>
  <si>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</si>
  <si>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</si>
  <si>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</si>
  <si>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</si>
  <si>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</si>
  <si>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</si>
  <si>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</si>
  <si>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</si>
  <si>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</si>
  <si>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20-11-2014</t>
  </si>
  <si>
    <t>BPI Conference Tables</t>
  </si>
  <si>
    <t>Alan Schoenberger</t>
  </si>
  <si>
    <t>Electrix 20W Halogen Replacement Bulb for Zoom-In Desk Lamp</t>
  </si>
  <si>
    <t>30-12-2011</t>
  </si>
  <si>
    <t>Taylor</t>
  </si>
  <si>
    <t>Newell 350</t>
  </si>
  <si>
    <t>Corey Roper</t>
  </si>
  <si>
    <t>Lakewood</t>
  </si>
  <si>
    <t>GBC Clear Cover, 8-1/2 x 11, unpunched, 25 covers per pack</t>
  </si>
  <si>
    <t>Boston Heavy-Duty Trimline Electric Pencil Sharpeners</t>
  </si>
  <si>
    <t>18-04-2014</t>
  </si>
  <si>
    <t>Shahid Hopkins</t>
  </si>
  <si>
    <t>Arlington</t>
  </si>
  <si>
    <t>Faber Castell Col-Erase Pencils</t>
  </si>
  <si>
    <t>13-09-2013</t>
  </si>
  <si>
    <t>15-09-2013</t>
  </si>
  <si>
    <t>Ben Peterman</t>
  </si>
  <si>
    <t>Arvada</t>
  </si>
  <si>
    <t>C-Line Cubicle Keepers Polyproplyene Holder With Velcro Backings</t>
  </si>
  <si>
    <t>Hon 4070 Series Pagoda Armless Upholstered Stacking Chairs</t>
  </si>
  <si>
    <t>Eldon Expressions Desk Accessory, Wood Photo Frame, Mahogany</t>
  </si>
  <si>
    <t>Avery 509</t>
  </si>
  <si>
    <t>27-09-2011</t>
  </si>
  <si>
    <t>Thomas Seio</t>
  </si>
  <si>
    <t>Hackensack</t>
  </si>
  <si>
    <t>Deflect-o SuperTray Unbreakable Stackable Tray, Letter, Black</t>
  </si>
  <si>
    <t>16-08-2011</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</si>
  <si>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</si>
  <si>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</si>
  <si>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</si>
  <si>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</si>
  <si>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</si>
  <si>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</si>
  <si>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</si>
  <si>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</si>
  <si>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</si>
  <si>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</si>
  <si>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24-09-2011</t>
  </si>
  <si>
    <t>Frank Atkinson</t>
  </si>
  <si>
    <t>Long Beach</t>
  </si>
  <si>
    <t>OIC Binder Clips</t>
  </si>
  <si>
    <t>24-04-2013</t>
  </si>
  <si>
    <t>28-04-2013</t>
  </si>
  <si>
    <t>Grace Kelly</t>
  </si>
  <si>
    <t>Hesperia</t>
  </si>
  <si>
    <t>Logitech Wireless Headset h800</t>
  </si>
  <si>
    <t>Don Jones</t>
  </si>
  <si>
    <t>Murfreesboro</t>
  </si>
  <si>
    <t>Telescoping Adjustable Floor Lamp</t>
  </si>
  <si>
    <t>31-08-2013</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</si>
  <si>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</si>
  <si>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</si>
  <si>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</si>
  <si>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</si>
  <si>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</si>
  <si>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</si>
  <si>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26-04-2013</t>
  </si>
  <si>
    <t>30-04-2013</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</si>
  <si>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</si>
  <si>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</si>
  <si>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</si>
  <si>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</si>
  <si>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</si>
  <si>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</si>
  <si>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</si>
  <si>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</si>
  <si>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</si>
  <si>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17-07-2011</t>
  </si>
  <si>
    <t>Alyssa Crouse</t>
  </si>
  <si>
    <t>Tuff Stuff Recycled Round Ring Binders</t>
  </si>
  <si>
    <t>Hon 5100 Series Wood Tables</t>
  </si>
  <si>
    <t>22-06-2012</t>
  </si>
  <si>
    <t>26-06-2012</t>
  </si>
  <si>
    <t>Layton</t>
  </si>
  <si>
    <t>OIC Binder Clips, Mini, 1/4" Capacity, Black</t>
  </si>
  <si>
    <t>13-04-2011</t>
  </si>
  <si>
    <t>17-04-2011</t>
  </si>
  <si>
    <t>Newell 314</t>
  </si>
  <si>
    <t>Square Credit Card Reader, 4 1/2" x 4 1/2" x 1", White</t>
  </si>
  <si>
    <t>20-12-2012</t>
  </si>
  <si>
    <t>Austin</t>
  </si>
  <si>
    <t>16-06-2014</t>
  </si>
  <si>
    <t>20-06-2014</t>
  </si>
  <si>
    <t>Clay Cheatham</t>
  </si>
  <si>
    <t>13-07-2014</t>
  </si>
  <si>
    <t>Tamara Dahlen</t>
  </si>
  <si>
    <t>Lowell</t>
  </si>
  <si>
    <t>Massachusetts</t>
  </si>
  <si>
    <t>BIC Brite Liner Highlighters, Chisel Tip</t>
  </si>
  <si>
    <t>Adam Bellavance</t>
  </si>
  <si>
    <t>Xerox 1881</t>
  </si>
  <si>
    <t>Acco Hanging Data Binders</t>
  </si>
  <si>
    <t>GBC DocuBind P400 Electric Binding System</t>
  </si>
  <si>
    <t>14-04-2013</t>
  </si>
  <si>
    <t>Jeremy Lonsdale</t>
  </si>
  <si>
    <t>Sauder Barrister Bookcases</t>
  </si>
  <si>
    <t>#10 Gummed Flap White Envelopes, 100/Box</t>
  </si>
  <si>
    <t>Dixon Prang Watercolor Pencils, 10-Color Set with Brush</t>
  </si>
  <si>
    <t>Adams Phone Message Book, 200 Message Capacity, 8 1/16” x 11”</t>
  </si>
  <si>
    <t>29-04-2013</t>
  </si>
  <si>
    <t>Victoria Brennan</t>
  </si>
  <si>
    <t>Georgia</t>
  </si>
  <si>
    <t>Belkin 8 Outlet SurgeMaster II Gold Surge Protector with Phone Protection</t>
  </si>
  <si>
    <t>Avery Address/Shipping Labels for Typewriters, 4" x 2"</t>
  </si>
  <si>
    <t>26-09-2014</t>
  </si>
  <si>
    <t>Katrina Willman</t>
  </si>
  <si>
    <t>Global Ergonomic Managers Chair</t>
  </si>
  <si>
    <t>Newell 333</t>
  </si>
  <si>
    <t>Eldon Wave Desk Accessories</t>
  </si>
  <si>
    <t>29-09-2011</t>
  </si>
  <si>
    <t>Julia Dunbar</t>
  </si>
  <si>
    <t>22-10-2013</t>
  </si>
  <si>
    <t>Same Day</t>
  </si>
  <si>
    <t>Michael Kennedy</t>
  </si>
  <si>
    <t>Manchester</t>
  </si>
  <si>
    <t>Wilson Jones “Snap” Scratch Pad Binder Tool for Ring Binders</t>
  </si>
  <si>
    <t>Pizazz Global Quick File</t>
  </si>
  <si>
    <t>30-05-2014</t>
  </si>
  <si>
    <t>Guy Thornton</t>
  </si>
  <si>
    <t>Harlingen</t>
  </si>
  <si>
    <t>Xerox 1930</t>
  </si>
  <si>
    <t>File Shuttle I and Handi-File</t>
  </si>
  <si>
    <t>23-07-2011</t>
  </si>
  <si>
    <t>27-07-2011</t>
  </si>
  <si>
    <t>Arthur Gainer</t>
  </si>
  <si>
    <t>Tucson</t>
  </si>
  <si>
    <t>NETGEAR AC1750 Dual Band Gigabit Smart WiFi Router</t>
  </si>
  <si>
    <t>Newell 324</t>
  </si>
  <si>
    <t>Microsoft Natural Keyboard Elite</t>
  </si>
  <si>
    <t>29-09-2013</t>
  </si>
  <si>
    <t>Muhammed MacIntyre</t>
  </si>
  <si>
    <t>Quincy</t>
  </si>
  <si>
    <t>Xerox 1960</t>
  </si>
  <si>
    <t>28-08-2014</t>
  </si>
  <si>
    <t>Allen Rosenblatt</t>
  </si>
  <si>
    <t>Office Impressions End Table, 20-1/2"H x 24"W x 20"D</t>
  </si>
  <si>
    <t>28-04-2012</t>
  </si>
  <si>
    <t>Russell Applegate</t>
  </si>
  <si>
    <t>Holmes Odor Grabber</t>
  </si>
  <si>
    <t>Akro-Mils 12-Gallon Tote</t>
  </si>
  <si>
    <t>GBC Twin Loop Wire Binding Elements, 9/16" Spine, Black</t>
  </si>
  <si>
    <t>30-10-2013</t>
  </si>
  <si>
    <t>Alejandro Savely</t>
  </si>
  <si>
    <t>Southworth Structures Collection</t>
  </si>
  <si>
    <t>Square Ring Data Binders, Rigid 75 Pt. Covers, 11" x 14-7/8"</t>
  </si>
  <si>
    <t>29-06-2012</t>
  </si>
  <si>
    <t>Laura Armstrong</t>
  </si>
  <si>
    <t>Sony 32GB Class 10 Micro SDHC R40 Memory Card</t>
  </si>
  <si>
    <t>27-11-2012</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</si>
  <si>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</si>
  <si>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</si>
  <si>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</si>
  <si>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</si>
  <si>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</si>
  <si>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</si>
  <si>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</si>
  <si>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</si>
  <si>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</si>
  <si>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16-12-2014</t>
  </si>
  <si>
    <t>Mike Vittorini</t>
  </si>
  <si>
    <t>Angle-D Binders with Locking Rings, Label Holders</t>
  </si>
  <si>
    <t>23-09-2011</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</si>
  <si>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</si>
  <si>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</si>
  <si>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</si>
  <si>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</si>
  <si>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</si>
  <si>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</si>
  <si>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</si>
  <si>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</si>
  <si>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</si>
  <si>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</si>
  <si>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</si>
  <si>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</si>
  <si>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</si>
  <si>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</si>
  <si>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</si>
  <si>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</si>
  <si>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</si>
  <si>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</si>
  <si>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</si>
  <si>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</si>
  <si>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</si>
  <si>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24-12-2011</t>
  </si>
  <si>
    <t>Luke Foster</t>
  </si>
  <si>
    <t>Miami</t>
  </si>
  <si>
    <t>Xerox 1974</t>
  </si>
  <si>
    <t>16-04-2011</t>
  </si>
  <si>
    <t>20-04-2011</t>
  </si>
  <si>
    <t>Avery Hi-Liter EverBold Pen Style Fluorescent Highlighters, 4/Pack</t>
  </si>
  <si>
    <t>25-12-2014</t>
  </si>
  <si>
    <t>30-12-2014</t>
  </si>
  <si>
    <t>Roy Französisch</t>
  </si>
  <si>
    <t>13-12-2014</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</si>
  <si>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</si>
  <si>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</si>
  <si>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</si>
  <si>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</si>
  <si>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</si>
  <si>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</si>
  <si>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</si>
  <si>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</si>
  <si>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</si>
  <si>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</si>
  <si>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</si>
  <si>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29-06-2014</t>
  </si>
  <si>
    <t>Caroline Jumper</t>
  </si>
  <si>
    <t>Huntington Beach</t>
  </si>
  <si>
    <t>Bulldog Vacuum Base Pencil Sharpener</t>
  </si>
  <si>
    <t>15-04-2013</t>
  </si>
  <si>
    <t>19-04-2013</t>
  </si>
  <si>
    <t>Philip Brown</t>
  </si>
  <si>
    <t>Bevis Steel Folding Chairs</t>
  </si>
  <si>
    <t>Richmond</t>
  </si>
  <si>
    <t>Xerox 1987</t>
  </si>
  <si>
    <t>American Pencil</t>
  </si>
  <si>
    <t>White Envelopes, White Envelopes with Clear Poly Window</t>
  </si>
  <si>
    <t>22-06-2011</t>
  </si>
  <si>
    <t>25-06-2011</t>
  </si>
  <si>
    <t>Louisville</t>
  </si>
  <si>
    <t>KeyTronic 6101 Series - Keyboard - Black</t>
  </si>
  <si>
    <t>Michael Paige</t>
  </si>
  <si>
    <t>Lawrence</t>
  </si>
  <si>
    <t>Westinghouse Mesh Shade Clip-On Gooseneck Lamp, Black</t>
  </si>
  <si>
    <t>Crate-A-Files</t>
  </si>
  <si>
    <t>22-08-2014</t>
  </si>
  <si>
    <t>24-08-2014</t>
  </si>
  <si>
    <t>Natalie Fritzler</t>
  </si>
  <si>
    <t>Mississippi</t>
  </si>
  <si>
    <t>Hon Multipurpose Stacking Arm Chairs</t>
  </si>
  <si>
    <t>27-11-2014</t>
  </si>
  <si>
    <t>Canton</t>
  </si>
  <si>
    <t>Coloredge Poster Frame</t>
  </si>
  <si>
    <t>GBC VeloBinder Manual Binding System</t>
  </si>
  <si>
    <t>Shirley Daniels</t>
  </si>
  <si>
    <t>New Rochelle</t>
  </si>
  <si>
    <t>Epson WorkForce WF-2530 All-in-One Printer, Copier Scanner</t>
  </si>
  <si>
    <t>Ken Heidel</t>
  </si>
  <si>
    <t>Design Ebony Sketching Pencil</t>
  </si>
  <si>
    <t>16-04-2013</t>
  </si>
  <si>
    <t>22-04-2013</t>
  </si>
  <si>
    <t>Ross Baird</t>
  </si>
  <si>
    <t>Gastonia</t>
  </si>
  <si>
    <t>GBC ProClick 150 Presentation Binding System</t>
  </si>
  <si>
    <t>Woodgrain Magazine Files by Perma</t>
  </si>
  <si>
    <t>Letter Size Cart</t>
  </si>
  <si>
    <t>19-12-2011</t>
  </si>
  <si>
    <t>25-12-2011</t>
  </si>
  <si>
    <t>Mike Kennedy</t>
  </si>
  <si>
    <t>Jacksonville</t>
  </si>
  <si>
    <t>Insertable Tab Post Binder Dividers</t>
  </si>
  <si>
    <t>Belkin QODE FastFit Bluetooth Keyboard</t>
  </si>
  <si>
    <t>15-06-2013</t>
  </si>
  <si>
    <t>Philisse Overcash</t>
  </si>
  <si>
    <t>Canon Color ImageCLASS MF8580Cdw Wireless Laser All-In-One Printer, Copier, Scanner</t>
  </si>
  <si>
    <t>Brenda Bowman</t>
  </si>
  <si>
    <t>Xerox 1897</t>
  </si>
  <si>
    <t>21-01-2014</t>
  </si>
  <si>
    <t>24-01-2014</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</si>
  <si>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</si>
  <si>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</si>
  <si>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</si>
  <si>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</si>
  <si>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</si>
  <si>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</si>
  <si>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</si>
  <si>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21-03-2014</t>
  </si>
  <si>
    <t>26-03-2014</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</si>
  <si>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</si>
  <si>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</si>
  <si>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</si>
  <si>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</si>
  <si>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</si>
  <si>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</si>
  <si>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</si>
  <si>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</si>
  <si>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</si>
  <si>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</si>
  <si>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21-10-2014</t>
  </si>
  <si>
    <t>25-10-2014</t>
  </si>
  <si>
    <t>Ed Braxton</t>
  </si>
  <si>
    <t>Deluxe Rollaway Locking File with Drawer</t>
  </si>
  <si>
    <t>Norman</t>
  </si>
  <si>
    <t>Memorex Mini Travel Drive 16 GB USB 2.0 Flash Drive</t>
  </si>
  <si>
    <t>13-02-2011</t>
  </si>
  <si>
    <t>19-02-2011</t>
  </si>
  <si>
    <t>Sanjit Chand</t>
  </si>
  <si>
    <t>Global Geo Office Task Chair, Gray</t>
  </si>
  <si>
    <t>27-09-2013</t>
  </si>
  <si>
    <t>Hon 4700 Series Mobuis Mid-Back Task Chairs with Adjustable Arms</t>
  </si>
  <si>
    <t>22-12-2012</t>
  </si>
  <si>
    <t>3M Office Air Cleaner</t>
  </si>
  <si>
    <t>Logitech G700s Rechargeable Gaming Mouse</t>
  </si>
  <si>
    <t>Acco D-Ring Binder w/DublLock</t>
  </si>
  <si>
    <t>23-04-2013</t>
  </si>
  <si>
    <t>Tanja Norvell</t>
  </si>
  <si>
    <t>Bush Advantage Collection Racetrack Conference Table</t>
  </si>
  <si>
    <t>Poly Designer Cover &amp; Back</t>
  </si>
  <si>
    <t>Premier Electric Letter Opener</t>
  </si>
  <si>
    <t>Fellowes Premier Superior Surge Suppressor, 10-Outlet, With Phone and Remote</t>
  </si>
  <si>
    <t>17-01-2012</t>
  </si>
  <si>
    <t>24-01-2012</t>
  </si>
  <si>
    <t>Joni Sundaresam</t>
  </si>
  <si>
    <t>Park Ridge</t>
  </si>
  <si>
    <t>Amarillo</t>
  </si>
  <si>
    <t>Bush Mission Pointe Library</t>
  </si>
  <si>
    <t>17-12-2013</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</si>
  <si>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</si>
  <si>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</si>
  <si>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</si>
  <si>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</si>
  <si>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</si>
  <si>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</si>
  <si>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</si>
  <si>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</si>
  <si>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</si>
  <si>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</si>
  <si>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</si>
  <si>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13-07-2013</t>
  </si>
  <si>
    <t>20-07-2013</t>
  </si>
  <si>
    <t>Cisco SPA525G2 IP Phone - Wireless</t>
  </si>
  <si>
    <t>28-10-2013</t>
  </si>
  <si>
    <t>Jeremy Ellison</t>
  </si>
  <si>
    <t>27-06-2013</t>
  </si>
  <si>
    <t>John Grady</t>
  </si>
  <si>
    <t>Prang Colored Pencils</t>
  </si>
  <si>
    <t>Fellowes Strictly Business Drawer File, Letter/Legal Size</t>
  </si>
  <si>
    <t>Xylona Preis</t>
  </si>
  <si>
    <t>Imation USB 2.0 Swivel Flash Drive USB flash drive - 4 GB - Pink</t>
  </si>
  <si>
    <t>22-07-2011</t>
  </si>
  <si>
    <t>Erin Mull</t>
  </si>
  <si>
    <t>Logitech G602 Wireless Gaming Mouse</t>
  </si>
  <si>
    <t>14-06-2014</t>
  </si>
  <si>
    <t>Michelle Tran</t>
  </si>
  <si>
    <t>Alphabetical Labels for Top Tab Filing</t>
  </si>
  <si>
    <t>O'Sullivan Living Dimensions 2-Shelf Bookcases</t>
  </si>
  <si>
    <t>iHome FM Clock Radio with Lightning Dock</t>
  </si>
  <si>
    <t>29-10-2011</t>
  </si>
  <si>
    <t>31-10-2011</t>
  </si>
  <si>
    <t>Sue Ann Reed</t>
  </si>
  <si>
    <t>Apple iPhone 5S</t>
  </si>
  <si>
    <t>13-06-2011</t>
  </si>
  <si>
    <t>Carl Weiss</t>
  </si>
  <si>
    <t>Huntsville</t>
  </si>
  <si>
    <t>Square Credit Card Reader</t>
  </si>
  <si>
    <t>Logitech M510 Wireless Mouse</t>
  </si>
  <si>
    <t>Astrea Jones</t>
  </si>
  <si>
    <t>Fellowes Officeware Wire Shelving</t>
  </si>
  <si>
    <t>Colored Envelopes</t>
  </si>
  <si>
    <t>15-05-2013</t>
  </si>
  <si>
    <t>Sonia Sunley</t>
  </si>
  <si>
    <t>Sony Micro Vault Click 8 GB USB 2.0 Flash Drive</t>
  </si>
  <si>
    <t>19-03-2013</t>
  </si>
  <si>
    <t>22-03-2013</t>
  </si>
  <si>
    <t>Rose O'Brian</t>
  </si>
  <si>
    <t>Balt Solid Wood Rectangular Table</t>
  </si>
  <si>
    <t>Maribeth Dona</t>
  </si>
  <si>
    <t>Fayetteville</t>
  </si>
  <si>
    <t>Arkansas</t>
  </si>
  <si>
    <t>Strathmore #10 Envelopes, Ultimate White</t>
  </si>
  <si>
    <t>26-07-2013</t>
  </si>
  <si>
    <t>Costa Mesa</t>
  </si>
  <si>
    <t>Clear Mylar Reinforcing Strips</t>
  </si>
  <si>
    <t>Howard Miller 14-1/2" Diameter Chrome Round Wall Clock</t>
  </si>
  <si>
    <t>Deflect-O Glasstique Clear Desk Accessories</t>
  </si>
  <si>
    <t>31-05-2013</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</si>
  <si>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</si>
  <si>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</si>
  <si>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</si>
  <si>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</si>
  <si>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</si>
  <si>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</si>
  <si>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</si>
  <si>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16-11-2014</t>
  </si>
  <si>
    <t>16-03-2012</t>
  </si>
  <si>
    <t>22-03-2012</t>
  </si>
  <si>
    <t>Christopher Martinez</t>
  </si>
  <si>
    <t>Atlanta</t>
  </si>
  <si>
    <t>Rogers Handheld Barrel Pencil Sharpener</t>
  </si>
  <si>
    <t>Newell 344</t>
  </si>
  <si>
    <t>Personal File Boxes with Fold-Down Carry Handle</t>
  </si>
  <si>
    <t>Fellowes PB500 Electric Punch Plastic Comb Binding Machine with Manual Bind</t>
  </si>
  <si>
    <t>28-11-2014</t>
  </si>
  <si>
    <t>Lynn Smith</t>
  </si>
  <si>
    <t>Gladstone</t>
  </si>
  <si>
    <t>Executive Impressions Supervisor Wall Clock</t>
  </si>
  <si>
    <t>SanDisk Cruzer 32 GB USB Flash Drive</t>
  </si>
  <si>
    <t>21-10-2013</t>
  </si>
  <si>
    <t>24-10-2013</t>
  </si>
  <si>
    <t>Bradley Nguyen</t>
  </si>
  <si>
    <t>Newell 327</t>
  </si>
  <si>
    <t>Newell 317</t>
  </si>
  <si>
    <t>23-01-2014</t>
  </si>
  <si>
    <t>28-01-2014</t>
  </si>
  <si>
    <t>Great Falls</t>
  </si>
  <si>
    <t>Montana</t>
  </si>
  <si>
    <t>Canon Image Class D660 Copier</t>
  </si>
  <si>
    <t>Advantus Rolling Storage Box</t>
  </si>
  <si>
    <t>Great White Multi-Use Recycled Paper (20Lb. and 84 Bright)</t>
  </si>
  <si>
    <t>Tennsco Single-Tier Lockers</t>
  </si>
  <si>
    <t>26-03-2012</t>
  </si>
  <si>
    <t>Dean Braden</t>
  </si>
  <si>
    <t>Carina Double Wide Media Storage Towers in Natural &amp; Black</t>
  </si>
  <si>
    <t>XtraLife ClearVue Slant-D Ring Binders by Cardinal</t>
  </si>
  <si>
    <t>26-01-2014</t>
  </si>
  <si>
    <t>Matt Connell</t>
  </si>
  <si>
    <t>22-05-2013</t>
  </si>
  <si>
    <t>24-05-2013</t>
  </si>
  <si>
    <t>Motorola HK250 Universal Bluetooth Headset</t>
  </si>
  <si>
    <t>Imation 16GB Mini TravelDrive USB 2.0 Flash Drive</t>
  </si>
  <si>
    <t>26-12-2012</t>
  </si>
  <si>
    <t>Brian Dahlen</t>
  </si>
  <si>
    <t>22-10-2014</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</si>
  <si>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</si>
  <si>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</si>
  <si>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</si>
  <si>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</si>
  <si>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</si>
  <si>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</si>
  <si>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</si>
  <si>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</si>
  <si>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</si>
  <si>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</si>
  <si>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</si>
  <si>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30-05-2013</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</si>
  <si>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</si>
  <si>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</si>
  <si>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</si>
  <si>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</si>
  <si>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</si>
  <si>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</si>
  <si>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</si>
  <si>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</si>
  <si>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</si>
  <si>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</si>
  <si>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</si>
  <si>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</si>
  <si>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</si>
  <si>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</si>
  <si>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</si>
  <si>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15-07-2013</t>
  </si>
  <si>
    <t>LG Electronics Tone+ HBS-730 Bluetooth Headset</t>
  </si>
  <si>
    <t>18-12-2012</t>
  </si>
  <si>
    <t>23-12-2012</t>
  </si>
  <si>
    <t>Liz MacKendrick</t>
  </si>
  <si>
    <t>16-05-2011</t>
  </si>
  <si>
    <t>SanDisk Cruzer 64 GB USB Flash Drive</t>
  </si>
  <si>
    <t>Xblue XB-1670-86 X16 Small Office Telephone - Titanium</t>
  </si>
  <si>
    <t>Deflect-o EconoMat Studded, No Bevel Mat for Low Pile Carpeting</t>
  </si>
  <si>
    <t>23-11-2014</t>
  </si>
  <si>
    <t>Adrian Shami</t>
  </si>
  <si>
    <t>Avery Printable Repositionable Plastic Tabs</t>
  </si>
  <si>
    <t>Xerox 1898</t>
  </si>
  <si>
    <t>18-04-2013</t>
  </si>
  <si>
    <t>Bill Donatelli</t>
  </si>
  <si>
    <t>HON 5400 Series Task Chairs for Big and Tall</t>
  </si>
  <si>
    <t>13-09-2014</t>
  </si>
  <si>
    <t>Howard Miller 11-1/2" Diameter Grantwood Wall Clock</t>
  </si>
  <si>
    <t>25-11-2014</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</si>
  <si>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</si>
  <si>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</si>
  <si>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</si>
  <si>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</si>
  <si>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</si>
  <si>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</si>
  <si>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</si>
  <si>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</si>
  <si>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</si>
  <si>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</si>
  <si>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21-11-2014</t>
  </si>
  <si>
    <t>Liz Pelletier</t>
  </si>
  <si>
    <t>GBC Prepunched Paper, 19-Hole, for Binding Systems, 24-lb</t>
  </si>
  <si>
    <t>18-09-2011</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</si>
  <si>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</si>
  <si>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</si>
  <si>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</si>
  <si>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</si>
  <si>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</si>
  <si>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</si>
  <si>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</si>
  <si>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</si>
  <si>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</si>
  <si>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</si>
  <si>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</si>
  <si>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</si>
  <si>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</si>
  <si>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</si>
  <si>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</si>
  <si>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</si>
  <si>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</si>
  <si>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18-09-2012</t>
  </si>
  <si>
    <t>22-09-2012</t>
  </si>
  <si>
    <t>Trudy Glocke</t>
  </si>
  <si>
    <t>Rediform S.O.S. Phone Message Books</t>
  </si>
  <si>
    <t>Acme Value Line Scissors</t>
  </si>
  <si>
    <t>21-07-2014</t>
  </si>
  <si>
    <t>27-07-2014</t>
  </si>
  <si>
    <t>Carlos Soltero</t>
  </si>
  <si>
    <t>Contract Clock, 14", Brown</t>
  </si>
  <si>
    <t>14-09-2012</t>
  </si>
  <si>
    <t>Charles Crestani</t>
  </si>
  <si>
    <t>Martin-Yale Premier Letter Opener</t>
  </si>
  <si>
    <t>Dianna Vittorini</t>
  </si>
  <si>
    <t>AT&amp;T SB67148 SynJ</t>
  </si>
  <si>
    <t>Recycled Pressboard Report Cover with Reinforced Top Hinge</t>
  </si>
  <si>
    <t>Bruce Degenhardt</t>
  </si>
  <si>
    <t>Dot Matrix Printer Tape Reel Labels, White, 5000/Box</t>
  </si>
  <si>
    <t>21-03-2013</t>
  </si>
  <si>
    <t>25-03-2013</t>
  </si>
  <si>
    <t>Zuschuss Carroll</t>
  </si>
  <si>
    <t>Salem</t>
  </si>
  <si>
    <t>i.Sound Portable Power - 8000 mAh</t>
  </si>
  <si>
    <t>Xerox 225</t>
  </si>
  <si>
    <t>Xerox 1894</t>
  </si>
  <si>
    <t>14-01-2011</t>
  </si>
  <si>
    <t>Melanie Seite</t>
  </si>
  <si>
    <t>Laredo</t>
  </si>
  <si>
    <t>Newell 312</t>
  </si>
  <si>
    <t>15-08-2011</t>
  </si>
  <si>
    <t>Lena Radford</t>
  </si>
  <si>
    <t>Fellowes Superior 10 Outlet Split Surge Protector</t>
  </si>
  <si>
    <t>Dana Halogen Swing-Arm Architect Lamp</t>
  </si>
  <si>
    <t>Theone Pippenger</t>
  </si>
  <si>
    <t>Acme Stainless Steel Office Snips</t>
  </si>
  <si>
    <t>22-07-2013</t>
  </si>
  <si>
    <t>Chloris Kastensmidt</t>
  </si>
  <si>
    <t>Mophie Juice Pack Helium for iPhone</t>
  </si>
  <si>
    <t>GE 2-Jack Phone Line Splitter</t>
  </si>
  <si>
    <t>15-03-2011</t>
  </si>
  <si>
    <t>19-03-2011</t>
  </si>
  <si>
    <t>Alan Shonely</t>
  </si>
  <si>
    <t>Hot File 7-Pocket, Floor Stand</t>
  </si>
  <si>
    <t>Xerox 1889</t>
  </si>
  <si>
    <t>23-05-2011</t>
  </si>
  <si>
    <t>27-05-2011</t>
  </si>
  <si>
    <t>Andrew Roberts</t>
  </si>
  <si>
    <t>Angle-D Ring Binders</t>
  </si>
  <si>
    <t>Motorola L804</t>
  </si>
  <si>
    <t>Nona Balk</t>
  </si>
  <si>
    <t>Avery 493</t>
  </si>
  <si>
    <t>14-09-2013</t>
  </si>
  <si>
    <t>Giulietta Dortch</t>
  </si>
  <si>
    <t>Xerox 1972</t>
  </si>
  <si>
    <t>Cisco 8x8 Inc. 6753i IP Business Phone System</t>
  </si>
  <si>
    <t>15-11-2014</t>
  </si>
  <si>
    <t>18-11-2014</t>
  </si>
  <si>
    <t>Clytie Kelty</t>
  </si>
  <si>
    <t>Grove City</t>
  </si>
  <si>
    <t>Prestige Round Ring Binders</t>
  </si>
  <si>
    <t>19-08-2014</t>
  </si>
  <si>
    <t>Nat Gilpin</t>
  </si>
  <si>
    <t>DAX Metal Frame, Desktop, Stepped-Edge</t>
  </si>
  <si>
    <t>DAX Value U-Channel Document Frames, Easel Back</t>
  </si>
  <si>
    <t>Recycled Easel Ring Binders</t>
  </si>
  <si>
    <t>Grandstream GXP1160 VoIP phone</t>
  </si>
  <si>
    <t>31-12-2011</t>
  </si>
  <si>
    <t>Christina Anderson</t>
  </si>
  <si>
    <t>Cardinal Slant-D Ring Binder, Heavy Gauge Vinyl</t>
  </si>
  <si>
    <t>29-11-2012</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</si>
  <si>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</si>
  <si>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</si>
  <si>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</si>
  <si>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</si>
  <si>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</si>
  <si>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</si>
  <si>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</si>
  <si>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20-05-2014</t>
  </si>
  <si>
    <t>24-05-2014</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</si>
  <si>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</si>
  <si>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</si>
  <si>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</si>
  <si>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</si>
  <si>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</si>
  <si>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</si>
  <si>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</si>
  <si>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25-09-2014</t>
  </si>
  <si>
    <t>27-09-2014</t>
  </si>
  <si>
    <t>Verbatim 25 GB 6x Blu-ray Single Layer Recordable Disc, 1/Pack</t>
  </si>
  <si>
    <t>Denny Joy</t>
  </si>
  <si>
    <t>Warner Robins</t>
  </si>
  <si>
    <t>Office Star - Mesh Screen back chair with Vinyl seat</t>
  </si>
  <si>
    <t>16-08-2013</t>
  </si>
  <si>
    <t>22-08-2013</t>
  </si>
  <si>
    <t>Max Engle</t>
  </si>
  <si>
    <t>Premium Transparent Presentation Covers by GBC</t>
  </si>
  <si>
    <t>Tripp Lite TLP810NET Broadband Surge for Modem/Fax</t>
  </si>
  <si>
    <t>21-05-2013</t>
  </si>
  <si>
    <t>26-05-2013</t>
  </si>
  <si>
    <t>Vallejo</t>
  </si>
  <si>
    <t>Wilson Jones Turn Tabs Binder Tool for Ring Binders</t>
  </si>
  <si>
    <t>23-12-2013</t>
  </si>
  <si>
    <t>Justin Deggeller</t>
  </si>
  <si>
    <t>Eldon 200 Class Desk Accessories</t>
  </si>
  <si>
    <t>31-07-2014</t>
  </si>
  <si>
    <t>John Lee</t>
  </si>
  <si>
    <t>Mission Viejo</t>
  </si>
  <si>
    <t>Economy Rollaway Files</t>
  </si>
  <si>
    <t>Avery 480</t>
  </si>
  <si>
    <t>Sean Christensen</t>
  </si>
  <si>
    <t>Rochester Hills</t>
  </si>
  <si>
    <t>22-07-2014</t>
  </si>
  <si>
    <t>26-07-2014</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</si>
  <si>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</si>
  <si>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</si>
  <si>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</si>
  <si>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</si>
  <si>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</si>
  <si>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</si>
  <si>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</si>
  <si>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</si>
  <si>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</si>
  <si>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</si>
  <si>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24-06-2014</t>
  </si>
  <si>
    <t>Sony 16GB Class 10 Micro SDHC R40 Memory Card</t>
  </si>
  <si>
    <t>23-08-2013</t>
  </si>
  <si>
    <t>29-08-2013</t>
  </si>
  <si>
    <t>Craig Reiter</t>
  </si>
  <si>
    <t>Tripp Lite Isotel 8 Ultra 8 Outlet Metal Surge</t>
  </si>
  <si>
    <t>Avery Durable Poly Binders</t>
  </si>
  <si>
    <t>Airmail Envelopes</t>
  </si>
  <si>
    <t>20-09-2013</t>
  </si>
  <si>
    <t>Eugene Hildebrand</t>
  </si>
  <si>
    <t>24-08-2012</t>
  </si>
  <si>
    <t>28-08-2012</t>
  </si>
  <si>
    <t>Space Solutions Commercial Steel Shelving</t>
  </si>
  <si>
    <t>27-03-2013</t>
  </si>
  <si>
    <t>31-03-2013</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</si>
  <si>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</si>
  <si>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</si>
  <si>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</si>
  <si>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</si>
  <si>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</si>
  <si>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</si>
  <si>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</si>
  <si>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</si>
  <si>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</si>
  <si>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</si>
  <si>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23-06-2014</t>
  </si>
  <si>
    <t>Newell 331</t>
  </si>
  <si>
    <t>Rob Beeghly</t>
  </si>
  <si>
    <t>Kensington 6 Outlet Guardian Standard Surge Protector</t>
  </si>
  <si>
    <t>Southworth 100% Résumé Paper, 24lb.</t>
  </si>
  <si>
    <t>19-03-2014</t>
  </si>
  <si>
    <t>24-03-2014</t>
  </si>
  <si>
    <t>Carol Darley</t>
  </si>
  <si>
    <t>Tyler</t>
  </si>
  <si>
    <t>Hoover Portapower Portable Vacuum</t>
  </si>
  <si>
    <t>Verbatim 25 GB 6x Blu-ray Single Layer Recordable Disc, 10/Pack</t>
  </si>
  <si>
    <t>Howard Miller 13-1/2" Diameter Rosebrook Wall Clock</t>
  </si>
  <si>
    <t>Ibico Hi-Tech Manual Binding System</t>
  </si>
  <si>
    <t>20-11-2013</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</si>
  <si>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</si>
  <si>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</si>
  <si>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</si>
  <si>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</si>
  <si>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</si>
  <si>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</si>
  <si>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</si>
  <si>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</si>
  <si>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</si>
  <si>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</si>
  <si>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21-06-2011</t>
  </si>
  <si>
    <t>23-06-2011</t>
  </si>
  <si>
    <t>Naresj Patel</t>
  </si>
  <si>
    <t>Waynesboro</t>
  </si>
  <si>
    <t>Luxo Professional Magnifying Clamp-On Fluorescent Lamps</t>
  </si>
  <si>
    <t>Recycled Eldon Regeneration Jumbo File</t>
  </si>
  <si>
    <t>28-03-2012</t>
  </si>
  <si>
    <t>Alan Barnes</t>
  </si>
  <si>
    <t>Imation Bio 8GB USB Flash Drive Imation Corp</t>
  </si>
  <si>
    <t>Xerox 1977</t>
  </si>
  <si>
    <t>14-05-2012</t>
  </si>
  <si>
    <t>17-05-2012</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</si>
  <si>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</si>
  <si>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</si>
  <si>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</si>
  <si>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</si>
  <si>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</si>
  <si>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</si>
  <si>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</si>
  <si>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14-04-2012</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</si>
  <si>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</si>
  <si>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</si>
  <si>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</si>
  <si>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</si>
  <si>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</si>
  <si>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</si>
  <si>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</si>
  <si>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</si>
  <si>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</si>
  <si>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</si>
  <si>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</si>
  <si>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</si>
  <si>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25-05-2014</t>
  </si>
  <si>
    <t>Roland Schwarz</t>
  </si>
  <si>
    <t>Mount Vernon</t>
  </si>
  <si>
    <t>Bionaire Personal Warm Mist Humidifier/Vaporizer</t>
  </si>
  <si>
    <t>Logitech Wireless Performance Mouse MX for PC and Mac</t>
  </si>
  <si>
    <t>Cardinal Holdit Business Card Pockets</t>
  </si>
  <si>
    <t>15-01-2011</t>
  </si>
  <si>
    <t>Seth Vernon</t>
  </si>
  <si>
    <t>30-09-2014</t>
  </si>
  <si>
    <t>Howard Miller 13" Diameter Pewter Finish Round Wall Clock</t>
  </si>
  <si>
    <t>Christine Kargatis</t>
  </si>
  <si>
    <t>13-02-2013</t>
  </si>
  <si>
    <t>18-02-2013</t>
  </si>
  <si>
    <t>Ross DeVincentis</t>
  </si>
  <si>
    <t>Tops Green Bar Computer Printout Paper</t>
  </si>
  <si>
    <t>20-12-2013</t>
  </si>
  <si>
    <t>Chromcraft Bull-Nose Wood Oval Conference Tables &amp; Bases</t>
  </si>
  <si>
    <t>Recycled Data-Pak for Archival Bound Computer Printouts, 12-1/2 x 12-1/2 x 16</t>
  </si>
  <si>
    <t>13-10-2011</t>
  </si>
  <si>
    <t>Mathew Reese</t>
  </si>
  <si>
    <t>Seth Thomas 16" Steel Case Clock</t>
  </si>
  <si>
    <t>Steve Chapman</t>
  </si>
  <si>
    <t>Hialeah</t>
  </si>
  <si>
    <t>Acme Softgrip Scissors</t>
  </si>
  <si>
    <t>21-09-2014</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</si>
  <si>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</si>
  <si>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</si>
  <si>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</si>
  <si>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</si>
  <si>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</si>
  <si>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</si>
  <si>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</si>
  <si>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</si>
  <si>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22-01-2014</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</si>
  <si>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</si>
  <si>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</si>
  <si>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</si>
  <si>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</si>
  <si>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</si>
  <si>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</si>
  <si>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</si>
  <si>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</si>
  <si>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28-08-2013</t>
  </si>
  <si>
    <t>Sung Shariari</t>
  </si>
  <si>
    <t>Xerox 196</t>
  </si>
  <si>
    <t>Fiskars 8" Scissors, 2/Pack</t>
  </si>
  <si>
    <t>23-03-2013</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</si>
  <si>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</si>
  <si>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</si>
  <si>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</si>
  <si>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</si>
  <si>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</si>
  <si>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</si>
  <si>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</si>
  <si>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</si>
  <si>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</si>
  <si>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</si>
  <si>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</si>
  <si>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29-12-2011</t>
  </si>
  <si>
    <t>Debra Catini</t>
  </si>
  <si>
    <t>Cottage Grove</t>
  </si>
  <si>
    <t>24-07-2014</t>
  </si>
  <si>
    <t>29-07-2014</t>
  </si>
  <si>
    <t>Christine Phan</t>
  </si>
  <si>
    <t>23-09-2014</t>
  </si>
  <si>
    <t>Barry Französisch</t>
  </si>
  <si>
    <t>31-08-2012</t>
  </si>
  <si>
    <t>Avery 476</t>
  </si>
  <si>
    <t>Lisa Hazard</t>
  </si>
  <si>
    <t>16-01-2011</t>
  </si>
  <si>
    <t>Chris Selesnick</t>
  </si>
  <si>
    <t>Bossier City</t>
  </si>
  <si>
    <t>Brown Kraft Recycled Envelopes</t>
  </si>
  <si>
    <t>Plantronics S12 Corded Telephone Headset System</t>
  </si>
  <si>
    <t>Fellowes Stor/Drawer Steel Plus Storage Drawers</t>
  </si>
  <si>
    <t>14-05-2011</t>
  </si>
  <si>
    <t>20-05-2011</t>
  </si>
  <si>
    <t>Anthony Johnson</t>
  </si>
  <si>
    <t>Electrix Halogen Magnifier Lamp</t>
  </si>
  <si>
    <t>20-05-2013</t>
  </si>
  <si>
    <t>25-05-2013</t>
  </si>
  <si>
    <t>Hon 4070 Series Pagoda Round Back Stacking Chairs</t>
  </si>
  <si>
    <t>31-01-2014</t>
  </si>
  <si>
    <t>Benjamin Venier</t>
  </si>
  <si>
    <t>Cardinal EasyOpen D-Ring Binders</t>
  </si>
  <si>
    <t>GBC Instant Report Kit</t>
  </si>
  <si>
    <t>Boston 19500 Mighty Mite Electric Pencil Sharpener</t>
  </si>
  <si>
    <t>C-Line Magnetic Cubicle Keepers, Clear Polypropylene</t>
  </si>
  <si>
    <t>29-06-2011</t>
  </si>
  <si>
    <t>Dan Lawera</t>
  </si>
  <si>
    <t>Dixon My First Ticonderoga Pencil, #2</t>
  </si>
  <si>
    <t>21-08-2012</t>
  </si>
  <si>
    <t>23-08-2012</t>
  </si>
  <si>
    <t>Hon GuestStacker Chair</t>
  </si>
  <si>
    <t>Xerox 1927</t>
  </si>
  <si>
    <t>Bryan Mills</t>
  </si>
  <si>
    <t>Safco Value Mate Series Steel Bookcases, Baked Enamel Finish on Steel, Gray</t>
  </si>
  <si>
    <t>Microsoft Natural Ergonomic Keyboard 4000</t>
  </si>
  <si>
    <t>23-05-2012</t>
  </si>
  <si>
    <t>Cameo Buff Policy Envelopes</t>
  </si>
  <si>
    <t>18-03-2014</t>
  </si>
  <si>
    <t>22-03-2014</t>
  </si>
  <si>
    <t>Lancaster</t>
  </si>
  <si>
    <t>Heavy-Duty E-Z-D Binders</t>
  </si>
  <si>
    <t>16-12-2012</t>
  </si>
  <si>
    <t>Liz Thompson</t>
  </si>
  <si>
    <t>Lifetime Advantage Folding Chairs, 4/Carton</t>
  </si>
  <si>
    <t>30-06-2012</t>
  </si>
  <si>
    <t>Acco PRESSTEX Data Binder with Storage Hooks, Dark Blue, 9 1/2" X 11"</t>
  </si>
  <si>
    <t>Office Star - Contemporary Task Swivel Chair</t>
  </si>
  <si>
    <t>Joe Kamberova</t>
  </si>
  <si>
    <t>Asheville</t>
  </si>
  <si>
    <t>Cisco Unified IP Phone 7945G VoIP phone</t>
  </si>
  <si>
    <t>26-09-2011</t>
  </si>
  <si>
    <t>Erica Smith</t>
  </si>
  <si>
    <t>Avery 499</t>
  </si>
  <si>
    <t>22-09-2014</t>
  </si>
  <si>
    <t>Rick Hansen</t>
  </si>
  <si>
    <t>Xerox 1887</t>
  </si>
  <si>
    <t>Smead Alpha-Z Color-Coded Second Alphabetical Labels and Starter Set</t>
  </si>
  <si>
    <t>Carlos Daly</t>
  </si>
  <si>
    <t>Lake Elsinore</t>
  </si>
  <si>
    <t>21-02-2014</t>
  </si>
  <si>
    <t>24-02-2014</t>
  </si>
  <si>
    <t>Helen Wasserman</t>
  </si>
  <si>
    <t>Executive Impressions 14" Contract Wall Clock</t>
  </si>
  <si>
    <t>19-08-2013</t>
  </si>
  <si>
    <t>24-08-2013</t>
  </si>
  <si>
    <t>Belkin 7 Outlet SurgeMaster II</t>
  </si>
  <si>
    <t>13-03-2013</t>
  </si>
  <si>
    <t>18-03-2013</t>
  </si>
  <si>
    <t>Mike Caudle</t>
  </si>
  <si>
    <t>Xerox 218</t>
  </si>
  <si>
    <t>23-04-2014</t>
  </si>
  <si>
    <t>25-04-2014</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</si>
  <si>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</si>
  <si>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</si>
  <si>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</si>
  <si>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</si>
  <si>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</si>
  <si>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</si>
  <si>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15-10-2011</t>
  </si>
  <si>
    <t>Edmonds</t>
  </si>
  <si>
    <t>Newell 32</t>
  </si>
  <si>
    <t>Belkin F9G930V10-GRY 9 Outlet Surge</t>
  </si>
  <si>
    <t>15-05-2014</t>
  </si>
  <si>
    <t>Pauline Johnson</t>
  </si>
  <si>
    <t>Santa Ana</t>
  </si>
  <si>
    <t>Razer Tiamat Over Ear 7.1 Surround Sound PC Gaming Headset</t>
  </si>
  <si>
    <t>20-03-2012</t>
  </si>
  <si>
    <t>23-03-2012</t>
  </si>
  <si>
    <t>Bart Watters</t>
  </si>
  <si>
    <t>Milwaukee</t>
  </si>
  <si>
    <t>16-09-2013</t>
  </si>
  <si>
    <t>Xerox 1968</t>
  </si>
  <si>
    <t>28-06-2011</t>
  </si>
  <si>
    <t>Self-Adhesive Ring Binder Labels</t>
  </si>
  <si>
    <t>Global Leather Executive Chair</t>
  </si>
  <si>
    <t>GBC Recycled Grain Textured Covers</t>
  </si>
  <si>
    <t>Xerox 1941</t>
  </si>
  <si>
    <t>28-06-2014</t>
  </si>
  <si>
    <t>Toby Ritter</t>
  </si>
  <si>
    <t>Razer Kraken PRO Over Ear PC and Music Headset</t>
  </si>
  <si>
    <t>Patrick Gardner</t>
  </si>
  <si>
    <t>Kingston Digital DataTraveler 32GB USB 2.0</t>
  </si>
  <si>
    <t>29-08-2014</t>
  </si>
  <si>
    <t>Advantus Plastic Paper Clips</t>
  </si>
  <si>
    <t>Acme Forged Steel Scissors with Black Enamel Handles</t>
  </si>
  <si>
    <t>Security-Tint Envelopes</t>
  </si>
  <si>
    <t>22-06-2014</t>
  </si>
  <si>
    <t>Florence</t>
  </si>
  <si>
    <t>Global Airflow Leather Mesh Back Chair, Black</t>
  </si>
  <si>
    <t>Fellowes Smart Surge Ten-Outlet Protector, Platinum</t>
  </si>
  <si>
    <t>Pyle PMP37LED</t>
  </si>
  <si>
    <t>Clarity 53712</t>
  </si>
  <si>
    <t>24-07-2013</t>
  </si>
  <si>
    <t>28-07-2013</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</si>
  <si>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</si>
  <si>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</si>
  <si>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</si>
  <si>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</si>
  <si>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</si>
  <si>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</si>
  <si>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20-11-2012</t>
  </si>
  <si>
    <t>25-11-2012</t>
  </si>
  <si>
    <t>Brian Moss</t>
  </si>
  <si>
    <t>Newell 335</t>
  </si>
  <si>
    <t>O'Sullivan 3-Shelf Heavy-Duty Bookcases</t>
  </si>
  <si>
    <t>Eudokia Martin</t>
  </si>
  <si>
    <t>Fellowes Binding Cases</t>
  </si>
  <si>
    <t>Ibico Plastic and Wire Spiral Binding Combs</t>
  </si>
  <si>
    <t>Acme Preferred Stainless Steel Scissors</t>
  </si>
  <si>
    <t>Avery 486</t>
  </si>
  <si>
    <t>13-10-2012</t>
  </si>
  <si>
    <t>17-10-2012</t>
  </si>
  <si>
    <t>Art Foster</t>
  </si>
  <si>
    <t>Guy Armstrong</t>
  </si>
  <si>
    <t>Lorain</t>
  </si>
  <si>
    <t>Linden 10" Round Wall Clock, Black</t>
  </si>
  <si>
    <t>Cyma Kinney</t>
  </si>
  <si>
    <t>Linden</t>
  </si>
  <si>
    <t>Maxell DVD-RAM Discs</t>
  </si>
  <si>
    <t>Dave Poirier</t>
  </si>
  <si>
    <t>Salinas</t>
  </si>
  <si>
    <t>DIXON Oriole Pencils</t>
  </si>
  <si>
    <t>Xerox 202</t>
  </si>
  <si>
    <t>29-05-2013</t>
  </si>
  <si>
    <t>19-02-2013</t>
  </si>
  <si>
    <t>24-02-2013</t>
  </si>
  <si>
    <t>Berenike Kampe</t>
  </si>
  <si>
    <t>Xerox 1884</t>
  </si>
  <si>
    <t>Acme Box Cutter Scissors</t>
  </si>
  <si>
    <t>Sanjit Jacobs</t>
  </si>
  <si>
    <t>New Brunswick</t>
  </si>
  <si>
    <t>16-06-2011</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</si>
  <si>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</si>
  <si>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</si>
  <si>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</si>
  <si>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</si>
  <si>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</si>
  <si>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</si>
  <si>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</si>
  <si>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</si>
  <si>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30-09-2013</t>
  </si>
  <si>
    <t>Linda Southworth</t>
  </si>
  <si>
    <t>Avery 483</t>
  </si>
  <si>
    <t>Guy Phonely</t>
  </si>
  <si>
    <t>Large Capacity Hanging Post Binders</t>
  </si>
  <si>
    <t>Paul Knutson</t>
  </si>
  <si>
    <t>GBC Ibimaster 500 Manual ProClick Binding System</t>
  </si>
  <si>
    <t>19-10-2012</t>
  </si>
  <si>
    <t>New Hampshire</t>
  </si>
  <si>
    <t>Southworth 100% Cotton The Best Paper</t>
  </si>
  <si>
    <t>15-12-2011</t>
  </si>
  <si>
    <t>Sally Matthias</t>
  </si>
  <si>
    <t>26-08-2014</t>
  </si>
  <si>
    <t>30-08-2014</t>
  </si>
  <si>
    <t>Xerox 1910</t>
  </si>
  <si>
    <t>17-01-2013</t>
  </si>
  <si>
    <t>21-01-2013</t>
  </si>
  <si>
    <t>Logitech G19 Programmable Gaming Keyboard</t>
  </si>
  <si>
    <t>Anthony Garverick</t>
  </si>
  <si>
    <t>Acco Pressboard Covers with Storage Hooks, 14 7/8" x 11", Light Blue</t>
  </si>
  <si>
    <t>Lock-Up Easel 'Spel-Binder'</t>
  </si>
  <si>
    <t>24-12-2014</t>
  </si>
  <si>
    <t>23-10-2013</t>
  </si>
  <si>
    <t>25-10-2013</t>
  </si>
  <si>
    <t>Peter McVee</t>
  </si>
  <si>
    <t>29-04-2011</t>
  </si>
  <si>
    <t>Lauren Leatherbury</t>
  </si>
  <si>
    <t>Dax Clear Box Frame</t>
  </si>
  <si>
    <t>25-04-2012</t>
  </si>
  <si>
    <t>Jill Stevenson</t>
  </si>
  <si>
    <t>Fellowes Black Plastic Comb Bindings</t>
  </si>
  <si>
    <t>27-06-2014</t>
  </si>
  <si>
    <t>Eldon Shelf Savers Cubes and Bins</t>
  </si>
  <si>
    <t>15-10-2014</t>
  </si>
  <si>
    <t>Ed Ludwig</t>
  </si>
  <si>
    <t>Maryland</t>
  </si>
  <si>
    <t>16-12-2011</t>
  </si>
  <si>
    <t xml:space="preserve">Anker Ultrathin Bluetooth Wireless Keyboard Aluminum Cover with Stand </t>
  </si>
  <si>
    <t>Ampad Poly Cover Wirebound Steno Book, 6" x 9" Assorted Colors, Gregg Ruled</t>
  </si>
  <si>
    <t>Fluorescent Highlighters by Dixon</t>
  </si>
  <si>
    <t>Nortel Networks T7316 E Nt8 B27</t>
  </si>
  <si>
    <t>13-11-2013</t>
  </si>
  <si>
    <t>Pamela Coakley</t>
  </si>
  <si>
    <t>Binding Machine Supplies</t>
  </si>
  <si>
    <t>Hunter Lopez</t>
  </si>
  <si>
    <t>15-09-2011</t>
  </si>
  <si>
    <t>Maribeth Schnelling</t>
  </si>
  <si>
    <t>30-10-2014</t>
  </si>
  <si>
    <t>George Bell</t>
  </si>
  <si>
    <t>Things To Do Today Pad</t>
  </si>
  <si>
    <t>13-04-2013</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</si>
  <si>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</si>
  <si>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</si>
  <si>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</si>
  <si>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</si>
  <si>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</si>
  <si>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</si>
  <si>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</si>
  <si>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</si>
  <si>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</si>
  <si>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</si>
  <si>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</si>
  <si>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</si>
  <si>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</si>
  <si>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</si>
  <si>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</si>
  <si>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</si>
  <si>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30-11-2014</t>
  </si>
  <si>
    <t>15-06-2011</t>
  </si>
  <si>
    <t>Lesro Sheffield Collection Coffee Table, End Table, Center Table, Corner Table</t>
  </si>
  <si>
    <t>Rob Williams</t>
  </si>
  <si>
    <t>Acco Perma 4000 Stacking Storage Drawers</t>
  </si>
  <si>
    <t>Alexandria</t>
  </si>
  <si>
    <t>15-04-2012</t>
  </si>
  <si>
    <t>Sanjit Engle</t>
  </si>
  <si>
    <t>Maxell 4.7GB DVD-R</t>
  </si>
  <si>
    <t>OtterBox Commuter Series Case - iPhone 5 &amp; 5s</t>
  </si>
  <si>
    <t>Kensington 4 Outlet MasterPiece Compact Power Control Center</t>
  </si>
  <si>
    <t>21-09-2013</t>
  </si>
  <si>
    <t>Adam Hart</t>
  </si>
  <si>
    <t>16-09-2011</t>
  </si>
  <si>
    <t>Jessica Myrick</t>
  </si>
  <si>
    <t>Xerox 1985</t>
  </si>
  <si>
    <t>Hypercom P1300 Pinpad</t>
  </si>
  <si>
    <t>Joel Jenkins</t>
  </si>
  <si>
    <t>15-04-2014</t>
  </si>
  <si>
    <t>Toledo</t>
  </si>
  <si>
    <t>Sanford Prismacolor Professional Thick Lead Art Pencils, 36-Color Set</t>
  </si>
  <si>
    <t>Ralph Kennedy</t>
  </si>
  <si>
    <t>RSVP Cards &amp; Envelopes, Blank White, 8-1/2" X 11", 24 Cards/25 Envelopes/Set</t>
  </si>
  <si>
    <t>25-06-2013</t>
  </si>
  <si>
    <t>Catherine Glotzbach</t>
  </si>
  <si>
    <t>Wirebound Message Books, 2 7/8" x 5", 3 Forms per Page</t>
  </si>
  <si>
    <t>JM Magazine Binder</t>
  </si>
  <si>
    <t>Farmington</t>
  </si>
  <si>
    <t>13-12-2012</t>
  </si>
  <si>
    <t>17-12-2012</t>
  </si>
  <si>
    <t>Rachel Payne</t>
  </si>
  <si>
    <t>Riverside</t>
  </si>
  <si>
    <t>Xerox 213</t>
  </si>
  <si>
    <t>Fellowes 8 Outlet Superior Workstation Surge Protector w/o Phone/Fax/Modem Protection</t>
  </si>
  <si>
    <t>20-06-2013</t>
  </si>
  <si>
    <t>Karen Carlisle</t>
  </si>
  <si>
    <t>Message Book, Standard Line "While You Were Out", 5 1/2" X 4", 200 Sets/Book</t>
  </si>
  <si>
    <t>Torrance</t>
  </si>
  <si>
    <t>Acco Pressboard Covers with Storage Hooks, 14 7/8" x 11", Dark Blue</t>
  </si>
  <si>
    <t>29-05-2012</t>
  </si>
  <si>
    <t>Standard Rollaway File with Lock</t>
  </si>
  <si>
    <t>Avery Trapezoid Extra Heavy Duty 4" Binders</t>
  </si>
  <si>
    <t>26-07-2012</t>
  </si>
  <si>
    <t>28-07-2012</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</si>
  <si>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</si>
  <si>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</si>
  <si>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</si>
  <si>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</si>
  <si>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</si>
  <si>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</si>
  <si>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</si>
  <si>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</si>
  <si>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16-05-2014</t>
  </si>
  <si>
    <t>19-05-2014</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</si>
  <si>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</si>
  <si>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</si>
  <si>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</si>
  <si>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</si>
  <si>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</si>
  <si>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</si>
  <si>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</si>
  <si>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</si>
  <si>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22-09-2011</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</si>
  <si>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</si>
  <si>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</si>
  <si>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</si>
  <si>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</si>
  <si>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</si>
  <si>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</si>
  <si>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</si>
  <si>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17-01-2011</t>
  </si>
  <si>
    <t>19-01-2011</t>
  </si>
  <si>
    <t>DAX Black Cherry Wood-Tone Poster Frame</t>
  </si>
  <si>
    <t>16-07-2014</t>
  </si>
  <si>
    <t>Wilson Jones Easy Flow II Sheet Lifters</t>
  </si>
  <si>
    <t>Robert Waldorf</t>
  </si>
  <si>
    <t>Xerox 188</t>
  </si>
  <si>
    <t>14-11-2011</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</si>
  <si>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</si>
  <si>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</si>
  <si>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</si>
  <si>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</si>
  <si>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</si>
  <si>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</si>
  <si>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</si>
  <si>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</si>
  <si>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22-05-2014</t>
  </si>
  <si>
    <t>27-05-2014</t>
  </si>
  <si>
    <t>Bulldog Table or Wall-Mount Pencil Sharpener</t>
  </si>
  <si>
    <t>29-03-2012</t>
  </si>
  <si>
    <t>31-03-2012</t>
  </si>
  <si>
    <t>Sara Luxemburg</t>
  </si>
  <si>
    <t>27-08-2013</t>
  </si>
  <si>
    <t>Xerox 1979</t>
  </si>
  <si>
    <t>21-05-2011</t>
  </si>
  <si>
    <t>25-05-2011</t>
  </si>
  <si>
    <t>Mitch Willingham</t>
  </si>
  <si>
    <t>Virginia Beach</t>
  </si>
  <si>
    <t>Fellowes PB300 Plastic Comb Binding Machine</t>
  </si>
  <si>
    <t>Plantronics Voyager Pro Legend</t>
  </si>
  <si>
    <t>28-10-2012</t>
  </si>
  <si>
    <t>Rob Dowd</t>
  </si>
  <si>
    <t>Laser &amp; Ink Jet Business Envelopes</t>
  </si>
  <si>
    <t>Portable Personal File Box</t>
  </si>
  <si>
    <t>Magna Visual Magnetic Picture Hangers</t>
  </si>
  <si>
    <t>14-11-2013</t>
  </si>
  <si>
    <t>18-11-2013</t>
  </si>
  <si>
    <t>Plantronics CS510 - Over-the-Head monaural Wireless Headset System</t>
  </si>
  <si>
    <t>27-08-2012</t>
  </si>
  <si>
    <t>Ryan Akin</t>
  </si>
  <si>
    <t>Murrieta</t>
  </si>
  <si>
    <t>Fellowes Super Stor/Drawer Files</t>
  </si>
  <si>
    <t>Meg Tillman</t>
  </si>
  <si>
    <t>UniKeep View Case Binders</t>
  </si>
  <si>
    <t>27-12-2014</t>
  </si>
  <si>
    <t>Row Labels</t>
  </si>
  <si>
    <t>Sum of Sales</t>
  </si>
  <si>
    <t>Top Category</t>
  </si>
  <si>
    <t>Top Sub-Category</t>
  </si>
  <si>
    <t>Total Sales</t>
  </si>
  <si>
    <t>Sum of Quantity</t>
  </si>
  <si>
    <t>Sum of Profit</t>
  </si>
  <si>
    <t>Total Profit</t>
  </si>
  <si>
    <t>Profit %</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</si>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</sst>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2" fontId="0" fillId="0" borderId="0" xfId="0" applyNumberFormat="1"/>
    <xf numFmtId="10" fontId="0" fillId="0" borderId="0" xfId="1" applyNumberFormat="1" applyFont="1"/>
    <xf numFmtId="164" fontId="0" fillId="0" borderId="0" xfId="0" applyNumberFormat="1"/>
  </cellXfs>
  <cellStyles count="2">
    <cellStyle name="Normal" xfId="0" builtinId="0"/>
    <cellStyle name="Percent" xfId="1" builtinId="5"/>
  </cellStyles>
  <dxfs count="2">
    <dxf>
      <font>
        <b/>
        <color theme="1"/>
      </font>
      <border>
        <bottom style="thin">
          <color theme="4"/>
        </bottom>
        <vertical/>
        <horizontal/>
      </border>
    </dxf>
    <dxf>
      <font>
        <color theme="1"/>
      </font>
      <fill>
        <patternFill patternType="solid">
          <fgColor indexed="64"/>
          <bgColor theme="1"/>
        </patternFill>
      </fill>
      <border diagonalUp="0" diagonalDown="0">
        <left/>
        <right/>
        <top/>
        <bottom/>
        <vertical/>
        <horizontal/>
      </border>
    </dxf>
  </dxfs>
  <tableStyles count="1" defaultTableStyle="TableStyleMedium2" defaultPivotStyle="PivotStyleLight16">
    <tableStyle name="SlicerStyleLight1 2" pivot="0" table="0" count="10" xr9:uid="{1FFAAC53-4146-4767-86AF-958F4F6A1476}">
      <tableStyleElement type="wholeTable" dxfId="1"/>
      <tableStyleElement type="headerRow" dxfId="0"/>
    </tableStyle>
  </tableStyles>
  <colors>
    <mruColors>
      <color rgb="FF66FFCC"/>
      <color rgb="FF111111"/>
      <color rgb="FF006600"/>
      <color rgb="FFCCFFEE"/>
      <color rgb="FF0066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ill>
            <patternFill patternType="solid">
              <bgColor theme="0"/>
            </patternFill>
          </fill>
        </dxf>
        <dxf>
          <font>
            <color rgb="FF000000"/>
          </font>
          <fill>
            <patternFill patternType="solid">
              <fgColor theme="4" tint="0.59999389629810485"/>
              <bgColor rgb="FF66FFCC"/>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2" tint="-9.9948118533890809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bg1"/>
                </a:solidFill>
                <a:latin typeface="Eras Bold ITC" panose="020B0907030504020204" pitchFamily="34" charset="0"/>
              </a:rPr>
              <a:t>Monthly</a:t>
            </a:r>
            <a:r>
              <a:rPr lang="en-IN" baseline="0">
                <a:solidFill>
                  <a:schemeClr val="bg1"/>
                </a:solidFill>
                <a:latin typeface="Eras Bold ITC" panose="020B0907030504020204" pitchFamily="34" charset="0"/>
              </a:rPr>
              <a:t> Sale</a:t>
            </a:r>
            <a:endParaRPr lang="en-IN">
              <a:solidFill>
                <a:schemeClr val="bg1"/>
              </a:solidFill>
              <a:latin typeface="Eras Bold ITC" panose="020B0907030504020204" pitchFamily="34" charset="0"/>
            </a:endParaRPr>
          </a:p>
        </c:rich>
      </c:tx>
      <c:layout>
        <c:manualLayout>
          <c:xMode val="edge"/>
          <c:yMode val="edge"/>
          <c:x val="2.6171282777877374E-2"/>
          <c:y val="5.86227620645182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1.7386136695082767E-3"/>
          <c:y val="3.2561282156769733E-2"/>
          <c:w val="0.99370049795957915"/>
          <c:h val="0.82245496723547729"/>
        </c:manualLayout>
      </c:layout>
      <c:barChart>
        <c:barDir val="col"/>
        <c:grouping val="clustered"/>
        <c:varyColors val="0"/>
        <c:ser>
          <c:idx val="0"/>
          <c:order val="0"/>
          <c:spPr>
            <a:gradFill>
              <a:gsLst>
                <a:gs pos="0">
                  <a:srgbClr val="66FFCC"/>
                </a:gs>
                <a:gs pos="100000">
                  <a:srgbClr val="92D050"/>
                </a:gs>
              </a:gsLst>
              <a:lin ang="5400000" scaled="1"/>
            </a:gradFill>
            <a:ln>
              <a:noFill/>
            </a:ln>
            <a:effectLst/>
          </c:spPr>
          <c:invertIfNegative val="0"/>
          <c:cat>
            <c:strRef>
              <c:f>'Pivot Table'!$D$3:$D$14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Table'!$E$3:$E$14</c:f>
              <c:numCache>
                <c:formatCode>General</c:formatCode>
                <c:ptCount val="12"/>
                <c:pt idx="0">
                  <c:v>13953.069999999994</c:v>
                </c:pt>
                <c:pt idx="1">
                  <c:v>2404.4</c:v>
                </c:pt>
                <c:pt idx="2">
                  <c:v>12068.1</c:v>
                </c:pt>
                <c:pt idx="3">
                  <c:v>13714.959999999994</c:v>
                </c:pt>
                <c:pt idx="4">
                  <c:v>15697.449999999997</c:v>
                </c:pt>
                <c:pt idx="5">
                  <c:v>24409.919999999991</c:v>
                </c:pt>
                <c:pt idx="6">
                  <c:v>10339.07</c:v>
                </c:pt>
                <c:pt idx="7">
                  <c:v>13662.509999999998</c:v>
                </c:pt>
                <c:pt idx="8">
                  <c:v>52116.079999999994</c:v>
                </c:pt>
                <c:pt idx="9">
                  <c:v>16506.089999999997</c:v>
                </c:pt>
                <c:pt idx="10">
                  <c:v>35391.319999999992</c:v>
                </c:pt>
                <c:pt idx="11">
                  <c:v>35083.909999999989</c:v>
                </c:pt>
              </c:numCache>
            </c:numRef>
          </c:val>
          <c:extLst>
            <c:ext xmlns:c16="http://schemas.microsoft.com/office/drawing/2014/chart" uri="{C3380CC4-5D6E-409C-BE32-E72D297353CC}">
              <c16:uniqueId val="{00000000-DEDB-41C6-92E0-AE33EFD1D7CD}"/>
            </c:ext>
          </c:extLst>
        </c:ser>
        <c:dLbls>
          <c:showLegendKey val="0"/>
          <c:showVal val="0"/>
          <c:showCatName val="0"/>
          <c:showSerName val="0"/>
          <c:showPercent val="0"/>
          <c:showBubbleSize val="0"/>
        </c:dLbls>
        <c:gapWidth val="219"/>
        <c:overlap val="-27"/>
        <c:axId val="1411140496"/>
        <c:axId val="1136359440"/>
      </c:barChart>
      <c:catAx>
        <c:axId val="1411140496"/>
        <c:scaling>
          <c:orientation val="minMax"/>
        </c:scaling>
        <c:delete val="0"/>
        <c:axPos val="b"/>
        <c:numFmt formatCode="General" sourceLinked="1"/>
        <c:majorTickMark val="none"/>
        <c:minorTickMark val="none"/>
        <c:tickLblPos val="nextTo"/>
        <c:spPr>
          <a:solidFill>
            <a:srgbClr val="111111"/>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36359440"/>
        <c:crosses val="autoZero"/>
        <c:auto val="1"/>
        <c:lblAlgn val="ctr"/>
        <c:lblOffset val="100"/>
        <c:noMultiLvlLbl val="0"/>
      </c:catAx>
      <c:valAx>
        <c:axId val="1136359440"/>
        <c:scaling>
          <c:orientation val="minMax"/>
        </c:scaling>
        <c:delete val="1"/>
        <c:axPos val="l"/>
        <c:numFmt formatCode="General" sourceLinked="1"/>
        <c:majorTickMark val="none"/>
        <c:minorTickMark val="none"/>
        <c:tickLblPos val="nextTo"/>
        <c:crossAx val="1411140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DASHBOARD.xlsx]Pivot Table!Monthly Quantity</c:name>
    <c:fmtId val="4"/>
  </c:pivotSource>
  <c:chart>
    <c:title>
      <c:tx>
        <c:rich>
          <a:bodyPr rot="0" spcFirstLastPara="1" vertOverflow="ellipsis" vert="horz" wrap="square" anchor="ctr" anchorCtr="1"/>
          <a:lstStyle/>
          <a:p>
            <a:pPr algn="ctr" rtl="0">
              <a:defRPr lang="en-US" sz="1400" b="0" i="0" u="none" strike="noStrike" kern="1200" spc="0" baseline="0">
                <a:solidFill>
                  <a:schemeClr val="bg1"/>
                </a:solidFill>
                <a:latin typeface="Eras Bold ITC" panose="020B0907030504020204" pitchFamily="34" charset="0"/>
                <a:ea typeface="+mn-ea"/>
                <a:cs typeface="+mn-cs"/>
              </a:defRPr>
            </a:pPr>
            <a:r>
              <a:rPr lang="en-US" sz="1400" b="0" i="0" u="none" strike="noStrike" kern="1200" spc="0" baseline="0">
                <a:solidFill>
                  <a:schemeClr val="bg1"/>
                </a:solidFill>
                <a:latin typeface="Eras Bold ITC" panose="020B0907030504020204" pitchFamily="34" charset="0"/>
                <a:ea typeface="+mn-ea"/>
                <a:cs typeface="+mn-cs"/>
              </a:rPr>
              <a:t>Quantity Sold</a:t>
            </a:r>
          </a:p>
        </c:rich>
      </c:tx>
      <c:layout>
        <c:manualLayout>
          <c:xMode val="edge"/>
          <c:yMode val="edge"/>
          <c:x val="3.9448110709515906E-2"/>
          <c:y val="7.1150053782717826E-2"/>
        </c:manualLayout>
      </c:layout>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bg1"/>
              </a:solidFill>
              <a:latin typeface="Eras Bold ITC" panose="020B09070305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66FFCC"/>
                </a:gs>
                <a:gs pos="100000">
                  <a:srgbClr val="FF0000"/>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1691497286367992E-2"/>
          <c:w val="0.99959345171971703"/>
          <c:h val="0.82154677024582312"/>
        </c:manualLayout>
      </c:layout>
      <c:lineChart>
        <c:grouping val="standard"/>
        <c:varyColors val="0"/>
        <c:ser>
          <c:idx val="0"/>
          <c:order val="0"/>
          <c:tx>
            <c:strRef>
              <c:f>'Pivot Table'!$AR$3</c:f>
              <c:strCache>
                <c:ptCount val="1"/>
                <c:pt idx="0">
                  <c:v>Total</c:v>
                </c:pt>
              </c:strCache>
            </c:strRef>
          </c:tx>
          <c:spPr>
            <a:ln w="28575" cap="rnd">
              <a:gradFill>
                <a:gsLst>
                  <a:gs pos="0">
                    <a:srgbClr val="66FFCC"/>
                  </a:gs>
                  <a:gs pos="100000">
                    <a:srgbClr val="FF0000"/>
                  </a:gs>
                </a:gsLst>
                <a:lin ang="5400000" scaled="1"/>
              </a:gra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Table'!$AQ$4:$AQ$15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Table'!$AR$4:$AR$15</c:f>
              <c:numCache>
                <c:formatCode>General</c:formatCode>
                <c:ptCount val="12"/>
                <c:pt idx="0">
                  <c:v>180</c:v>
                </c:pt>
                <c:pt idx="1">
                  <c:v>62</c:v>
                </c:pt>
                <c:pt idx="2">
                  <c:v>143</c:v>
                </c:pt>
                <c:pt idx="3">
                  <c:v>303</c:v>
                </c:pt>
                <c:pt idx="4">
                  <c:v>226</c:v>
                </c:pt>
                <c:pt idx="5">
                  <c:v>454</c:v>
                </c:pt>
                <c:pt idx="6">
                  <c:v>188</c:v>
                </c:pt>
                <c:pt idx="7">
                  <c:v>279</c:v>
                </c:pt>
                <c:pt idx="8">
                  <c:v>506</c:v>
                </c:pt>
                <c:pt idx="9">
                  <c:v>377</c:v>
                </c:pt>
                <c:pt idx="10">
                  <c:v>495</c:v>
                </c:pt>
                <c:pt idx="11">
                  <c:v>629</c:v>
                </c:pt>
              </c:numCache>
            </c:numRef>
          </c:val>
          <c:smooth val="1"/>
          <c:extLst>
            <c:ext xmlns:c16="http://schemas.microsoft.com/office/drawing/2014/chart" uri="{C3380CC4-5D6E-409C-BE32-E72D297353CC}">
              <c16:uniqueId val="{00000000-6C82-4920-99CC-A64E27932392}"/>
            </c:ext>
          </c:extLst>
        </c:ser>
        <c:dLbls>
          <c:dLblPos val="t"/>
          <c:showLegendKey val="0"/>
          <c:showVal val="1"/>
          <c:showCatName val="0"/>
          <c:showSerName val="0"/>
          <c:showPercent val="0"/>
          <c:showBubbleSize val="0"/>
        </c:dLbls>
        <c:smooth val="0"/>
        <c:axId val="1493805216"/>
        <c:axId val="1415282576"/>
      </c:lineChart>
      <c:catAx>
        <c:axId val="149380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5282576"/>
        <c:crosses val="autoZero"/>
        <c:auto val="1"/>
        <c:lblAlgn val="ctr"/>
        <c:lblOffset val="100"/>
        <c:noMultiLvlLbl val="0"/>
      </c:catAx>
      <c:valAx>
        <c:axId val="1415282576"/>
        <c:scaling>
          <c:orientation val="minMax"/>
        </c:scaling>
        <c:delete val="1"/>
        <c:axPos val="l"/>
        <c:numFmt formatCode="General" sourceLinked="1"/>
        <c:majorTickMark val="none"/>
        <c:minorTickMark val="none"/>
        <c:tickLblPos val="nextTo"/>
        <c:crossAx val="14938052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023504315054633"/>
          <c:y val="1.9869687041943071E-2"/>
          <c:w val="0.69976495684945361"/>
          <c:h val="0.96026062591611383"/>
        </c:manualLayout>
      </c:layout>
      <c:barChart>
        <c:barDir val="bar"/>
        <c:grouping val="clustered"/>
        <c:varyColors val="0"/>
        <c:ser>
          <c:idx val="0"/>
          <c:order val="0"/>
          <c:spPr>
            <a:gradFill>
              <a:gsLst>
                <a:gs pos="0">
                  <a:schemeClr val="tx1"/>
                </a:gs>
                <a:gs pos="100000">
                  <a:srgbClr val="66FFCC"/>
                </a:gs>
              </a:gsLst>
              <a:lin ang="10800000" scaled="0"/>
            </a:gradFill>
            <a:ln>
              <a:noFill/>
            </a:ln>
            <a:effectLst/>
          </c:spPr>
          <c:invertIfNegative val="0"/>
          <c:dLbls>
            <c:numFmt formatCode="#,##0.0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ln>
                      <a:noFill/>
                    </a:ln>
                    <a:solidFill>
                      <a:schemeClr val="bg1">
                        <a:alpha val="84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Table'!$AD$3:$AD$19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Table'!$AE$3:$AE$19</c:f>
              <c:numCache>
                <c:formatCode>General</c:formatCode>
                <c:ptCount val="17"/>
                <c:pt idx="0">
                  <c:v>22791.03</c:v>
                </c:pt>
                <c:pt idx="1">
                  <c:v>8369.869999999999</c:v>
                </c:pt>
                <c:pt idx="2">
                  <c:v>3902.1200000000003</c:v>
                </c:pt>
                <c:pt idx="3">
                  <c:v>21416.959999999999</c:v>
                </c:pt>
                <c:pt idx="4">
                  <c:v>13834.999999999998</c:v>
                </c:pt>
                <c:pt idx="5">
                  <c:v>30809.119999999988</c:v>
                </c:pt>
                <c:pt idx="6">
                  <c:v>9359.8399999999983</c:v>
                </c:pt>
                <c:pt idx="7">
                  <c:v>2116.41</c:v>
                </c:pt>
                <c:pt idx="8">
                  <c:v>381.66</c:v>
                </c:pt>
                <c:pt idx="9">
                  <c:v>10256.889999999998</c:v>
                </c:pt>
                <c:pt idx="10">
                  <c:v>1534.34</c:v>
                </c:pt>
                <c:pt idx="11">
                  <c:v>32622.12</c:v>
                </c:pt>
                <c:pt idx="12">
                  <c:v>6565.7099999999982</c:v>
                </c:pt>
                <c:pt idx="13">
                  <c:v>31132.47</c:v>
                </c:pt>
                <c:pt idx="14">
                  <c:v>22294.300000000003</c:v>
                </c:pt>
                <c:pt idx="15">
                  <c:v>2391.6500000000005</c:v>
                </c:pt>
                <c:pt idx="16">
                  <c:v>25567.389999999989</c:v>
                </c:pt>
              </c:numCache>
            </c:numRef>
          </c:val>
          <c:extLst>
            <c:ext xmlns:c16="http://schemas.microsoft.com/office/drawing/2014/chart" uri="{C3380CC4-5D6E-409C-BE32-E72D297353CC}">
              <c16:uniqueId val="{00000000-AF1F-4BF4-BFE8-B538EC7AE1B6}"/>
            </c:ext>
          </c:extLst>
        </c:ser>
        <c:dLbls>
          <c:showLegendKey val="0"/>
          <c:showVal val="0"/>
          <c:showCatName val="0"/>
          <c:showSerName val="0"/>
          <c:showPercent val="0"/>
          <c:showBubbleSize val="0"/>
        </c:dLbls>
        <c:gapWidth val="182"/>
        <c:axId val="1426027072"/>
        <c:axId val="1415279696"/>
      </c:barChart>
      <c:catAx>
        <c:axId val="142602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5279696"/>
        <c:crosses val="autoZero"/>
        <c:auto val="1"/>
        <c:lblAlgn val="ctr"/>
        <c:lblOffset val="100"/>
        <c:noMultiLvlLbl val="0"/>
      </c:catAx>
      <c:valAx>
        <c:axId val="1415279696"/>
        <c:scaling>
          <c:orientation val="minMax"/>
        </c:scaling>
        <c:delete val="1"/>
        <c:axPos val="b"/>
        <c:numFmt formatCode="General" sourceLinked="1"/>
        <c:majorTickMark val="none"/>
        <c:minorTickMark val="none"/>
        <c:tickLblPos val="nextTo"/>
        <c:crossAx val="1426027072"/>
        <c:crosses val="autoZero"/>
        <c:crossBetween val="between"/>
      </c:valAx>
      <c:spPr>
        <a:solidFill>
          <a:srgbClr val="111111"/>
        </a:solid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6.4180570772471284E-3"/>
          <c:y val="0"/>
          <c:w val="0.99358194292275293"/>
          <c:h val="0.85618824618704525"/>
        </c:manualLayout>
      </c:layout>
      <c:bar3DChart>
        <c:barDir val="col"/>
        <c:grouping val="stacked"/>
        <c:varyColors val="0"/>
        <c:ser>
          <c:idx val="1"/>
          <c:order val="0"/>
          <c:spPr>
            <a:gradFill flip="none" rotWithShape="1">
              <a:gsLst>
                <a:gs pos="4000">
                  <a:srgbClr val="111111"/>
                </a:gs>
                <a:gs pos="100000">
                  <a:srgbClr val="66FFCC"/>
                </a:gs>
              </a:gsLst>
              <a:lin ang="16200000" scaled="0"/>
              <a:tileRect/>
            </a:gradFill>
            <a:ln>
              <a:noFill/>
            </a:ln>
            <a:effectLst/>
            <a:sp3d/>
          </c:spPr>
          <c:invertIfNegative val="0"/>
          <c:dLbls>
            <c:dLbl>
              <c:idx val="0"/>
              <c:layout>
                <c:manualLayout>
                  <c:x val="1.2836295251433134E-2"/>
                  <c:y val="-0.4109739825304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95A-426D-8FF1-4009676B5E04}"/>
                </c:ext>
              </c:extLst>
            </c:dLbl>
            <c:dLbl>
              <c:idx val="1"/>
              <c:layout>
                <c:manualLayout>
                  <c:x val="1.9241078565510033E-2"/>
                  <c:y val="-0.33985109381015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95A-426D-8FF1-4009676B5E04}"/>
                </c:ext>
              </c:extLst>
            </c:dLbl>
            <c:dLbl>
              <c:idx val="2"/>
              <c:layout>
                <c:manualLayout>
                  <c:x val="1.2836295251433191E-2"/>
                  <c:y val="-0.4109739825304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5A-426D-8FF1-4009676B5E04}"/>
                </c:ext>
              </c:extLst>
            </c:dLbl>
            <c:dLbl>
              <c:idx val="3"/>
              <c:layout>
                <c:manualLayout>
                  <c:x val="3.2090485971759446E-2"/>
                  <c:y val="-0.395186338305594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95A-426D-8FF1-4009676B5E04}"/>
                </c:ext>
              </c:extLst>
            </c:dLbl>
            <c:numFmt formatCode="#,##0" sourceLinked="0"/>
            <c:spPr>
              <a:noFill/>
              <a:ln>
                <a:noFill/>
              </a:ln>
              <a:effectLst/>
            </c:spPr>
            <c:txPr>
              <a:bodyPr rot="0" spcFirstLastPara="1" vertOverflow="ellipsis" vert="horz" wrap="non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0"/>
              </c:ext>
            </c:extLst>
          </c:dLbls>
          <c:cat>
            <c:numRef>
              <c:f>'Pivot Table'!$AL$3:$AL$6</c:f>
              <c:numCache>
                <c:formatCode>General</c:formatCode>
                <c:ptCount val="4"/>
                <c:pt idx="0">
                  <c:v>2011</c:v>
                </c:pt>
                <c:pt idx="1">
                  <c:v>2012</c:v>
                </c:pt>
                <c:pt idx="2">
                  <c:v>2013</c:v>
                </c:pt>
                <c:pt idx="3">
                  <c:v>2014</c:v>
                </c:pt>
              </c:numCache>
            </c:numRef>
          </c:cat>
          <c:val>
            <c:numRef>
              <c:f>'Pivot Table'!$AM$3:$AM$6</c:f>
              <c:numCache>
                <c:formatCode>General</c:formatCode>
                <c:ptCount val="4"/>
                <c:pt idx="0">
                  <c:v>68527.27</c:v>
                </c:pt>
                <c:pt idx="1">
                  <c:v>50551.409999999989</c:v>
                </c:pt>
                <c:pt idx="2">
                  <c:v>65721.279999999984</c:v>
                </c:pt>
                <c:pt idx="3">
                  <c:v>60546.920000000042</c:v>
                </c:pt>
              </c:numCache>
            </c:numRef>
          </c:val>
          <c:extLst>
            <c:ext xmlns:c16="http://schemas.microsoft.com/office/drawing/2014/chart" uri="{C3380CC4-5D6E-409C-BE32-E72D297353CC}">
              <c16:uniqueId val="{00000005-995A-426D-8FF1-4009676B5E04}"/>
            </c:ext>
          </c:extLst>
        </c:ser>
        <c:dLbls>
          <c:showLegendKey val="0"/>
          <c:showVal val="1"/>
          <c:showCatName val="0"/>
          <c:showSerName val="0"/>
          <c:showPercent val="0"/>
          <c:showBubbleSize val="0"/>
        </c:dLbls>
        <c:gapWidth val="150"/>
        <c:shape val="box"/>
        <c:axId val="1420510160"/>
        <c:axId val="1415291696"/>
        <c:axId val="0"/>
      </c:bar3DChart>
      <c:catAx>
        <c:axId val="1420510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5291696"/>
        <c:crosses val="autoZero"/>
        <c:auto val="1"/>
        <c:lblAlgn val="ctr"/>
        <c:lblOffset val="100"/>
        <c:noMultiLvlLbl val="0"/>
      </c:catAx>
      <c:valAx>
        <c:axId val="1415291696"/>
        <c:scaling>
          <c:orientation val="minMax"/>
        </c:scaling>
        <c:delete val="1"/>
        <c:axPos val="l"/>
        <c:numFmt formatCode="General" sourceLinked="1"/>
        <c:majorTickMark val="out"/>
        <c:minorTickMark val="none"/>
        <c:tickLblPos val="nextTo"/>
        <c:crossAx val="142051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006600"/>
              </a:solidFill>
              <a:ln w="19050">
                <a:solidFill>
                  <a:schemeClr val="lt1"/>
                </a:solidFill>
              </a:ln>
              <a:effectLst/>
            </c:spPr>
            <c:extLst>
              <c:ext xmlns:c16="http://schemas.microsoft.com/office/drawing/2014/chart" uri="{C3380CC4-5D6E-409C-BE32-E72D297353CC}">
                <c16:uniqueId val="{00000001-5549-40F3-ADB7-EC9A028DFDE7}"/>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5549-40F3-ADB7-EC9A028DFDE7}"/>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5549-40F3-ADB7-EC9A028DFDE7}"/>
              </c:ext>
            </c:extLst>
          </c:dPt>
          <c:dPt>
            <c:idx val="3"/>
            <c:bubble3D val="0"/>
            <c:spPr>
              <a:solidFill>
                <a:srgbClr val="66FFCC"/>
              </a:solidFill>
              <a:ln w="19050">
                <a:noFill/>
              </a:ln>
              <a:effectLst>
                <a:glow rad="63500">
                  <a:srgbClr val="66FFCC">
                    <a:alpha val="40000"/>
                  </a:srgbClr>
                </a:glow>
              </a:effectLst>
            </c:spPr>
            <c:extLst>
              <c:ext xmlns:c16="http://schemas.microsoft.com/office/drawing/2014/chart" uri="{C3380CC4-5D6E-409C-BE32-E72D297353CC}">
                <c16:uniqueId val="{00000007-5549-40F3-ADB7-EC9A028DFDE7}"/>
              </c:ext>
            </c:extLst>
          </c:dPt>
          <c:cat>
            <c:strRef>
              <c:f>'Pivot Table'!$L$3:$L$6</c:f>
              <c:strCache>
                <c:ptCount val="4"/>
                <c:pt idx="0">
                  <c:v>First Class</c:v>
                </c:pt>
                <c:pt idx="1">
                  <c:v>Same Day</c:v>
                </c:pt>
                <c:pt idx="2">
                  <c:v>Second Class</c:v>
                </c:pt>
                <c:pt idx="3">
                  <c:v>Standard Class</c:v>
                </c:pt>
              </c:strCache>
            </c:strRef>
          </c:cat>
          <c:val>
            <c:numRef>
              <c:f>'Pivot Table'!$M$3:$M$6</c:f>
              <c:numCache>
                <c:formatCode>General</c:formatCode>
                <c:ptCount val="4"/>
                <c:pt idx="0">
                  <c:v>37090.219999999994</c:v>
                </c:pt>
                <c:pt idx="1">
                  <c:v>17408.780000000002</c:v>
                </c:pt>
                <c:pt idx="2">
                  <c:v>49014.079999999994</c:v>
                </c:pt>
                <c:pt idx="3">
                  <c:v>141833.80000000016</c:v>
                </c:pt>
              </c:numCache>
            </c:numRef>
          </c:val>
          <c:extLst>
            <c:ext xmlns:c16="http://schemas.microsoft.com/office/drawing/2014/chart" uri="{C3380CC4-5D6E-409C-BE32-E72D297353CC}">
              <c16:uniqueId val="{00000008-5549-40F3-ADB7-EC9A028DFDE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310795868281232E-2"/>
          <c:y val="2.4367604543725784E-2"/>
          <c:w val="0.91000703749821266"/>
          <c:h val="0.96140439531797306"/>
        </c:manualLayout>
      </c:layout>
      <c:radarChart>
        <c:radarStyle val="filled"/>
        <c:varyColors val="0"/>
        <c:ser>
          <c:idx val="0"/>
          <c:order val="0"/>
          <c:spPr>
            <a:noFill/>
            <a:ln w="25400">
              <a:gradFill>
                <a:gsLst>
                  <a:gs pos="0">
                    <a:srgbClr val="FF0000">
                      <a:alpha val="89000"/>
                    </a:srgbClr>
                  </a:gs>
                  <a:gs pos="100000">
                    <a:srgbClr val="66FFCC"/>
                  </a:gs>
                </a:gsLst>
                <a:lin ang="5400000" scaled="1"/>
              </a:gradFill>
            </a:ln>
            <a:effectLst>
              <a:glow>
                <a:schemeClr val="accent1">
                  <a:alpha val="32000"/>
                </a:schemeClr>
              </a:glow>
            </a:effectLst>
          </c:spPr>
          <c:dLbls>
            <c:dLbl>
              <c:idx val="1"/>
              <c:layout>
                <c:manualLayout>
                  <c:x val="9.6805273524443708E-2"/>
                  <c:y val="0.163502998091392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A60-49BB-B875-47D0F2576B1C}"/>
                </c:ext>
              </c:extLst>
            </c:dLbl>
            <c:dLbl>
              <c:idx val="2"/>
              <c:layout>
                <c:manualLayout>
                  <c:x val="6.4536849016295812E-3"/>
                  <c:y val="4.7688374443322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A60-49BB-B875-47D0F2576B1C}"/>
                </c:ext>
              </c:extLst>
            </c:dLbl>
            <c:numFmt formatCode="[$₹-4009]\ #,##0.00" sourceLinked="0"/>
            <c:spPr>
              <a:solidFill>
                <a:srgbClr val="E7E6E6">
                  <a:lumMod val="25000"/>
                </a:srgbClr>
              </a:soli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'Pivot Table'!$BG$3:$BG$5</c:f>
              <c:strCache>
                <c:ptCount val="3"/>
                <c:pt idx="0">
                  <c:v>Furniture</c:v>
                </c:pt>
                <c:pt idx="1">
                  <c:v>Office Supplies</c:v>
                </c:pt>
                <c:pt idx="2">
                  <c:v>Technology</c:v>
                </c:pt>
              </c:strCache>
            </c:strRef>
          </c:cat>
          <c:val>
            <c:numRef>
              <c:f>'Pivot Table'!$BH$3:$BH$5</c:f>
              <c:numCache>
                <c:formatCode>General</c:formatCode>
                <c:ptCount val="3"/>
                <c:pt idx="0">
                  <c:v>80468.400000000038</c:v>
                </c:pt>
                <c:pt idx="1">
                  <c:v>68973.01999999996</c:v>
                </c:pt>
                <c:pt idx="2">
                  <c:v>95905.460000000021</c:v>
                </c:pt>
              </c:numCache>
            </c:numRef>
          </c:val>
          <c:extLst>
            <c:ext xmlns:c16="http://schemas.microsoft.com/office/drawing/2014/chart" uri="{C3380CC4-5D6E-409C-BE32-E72D297353CC}">
              <c16:uniqueId val="{00000000-E803-4BAF-BE1E-B206E47A1B3D}"/>
            </c:ext>
          </c:extLst>
        </c:ser>
        <c:dLbls>
          <c:showLegendKey val="0"/>
          <c:showVal val="1"/>
          <c:showCatName val="0"/>
          <c:showSerName val="0"/>
          <c:showPercent val="0"/>
          <c:showBubbleSize val="0"/>
        </c:dLbls>
        <c:axId val="1493820064"/>
        <c:axId val="1415321456"/>
      </c:radarChart>
      <c:catAx>
        <c:axId val="1493820064"/>
        <c:scaling>
          <c:orientation val="minMax"/>
        </c:scaling>
        <c:delete val="1"/>
        <c:axPos val="b"/>
        <c:majorGridlines/>
        <c:numFmt formatCode="General" sourceLinked="1"/>
        <c:majorTickMark val="none"/>
        <c:minorTickMark val="none"/>
        <c:tickLblPos val="nextTo"/>
        <c:crossAx val="1415321456"/>
        <c:crosses val="autoZero"/>
        <c:auto val="1"/>
        <c:lblAlgn val="ctr"/>
        <c:lblOffset val="100"/>
        <c:noMultiLvlLbl val="0"/>
      </c:catAx>
      <c:valAx>
        <c:axId val="14153214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9382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areaChart>
        <c:grouping val="stacke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dLbls>
            <c:delete val="1"/>
          </c:dLbls>
          <c:cat>
            <c:strRef>
              <c:f>'Pivot Table'!$U$3:$U$5</c:f>
              <c:strCache>
                <c:ptCount val="3"/>
                <c:pt idx="0">
                  <c:v>Consumer</c:v>
                </c:pt>
                <c:pt idx="1">
                  <c:v>Corporate</c:v>
                </c:pt>
                <c:pt idx="2">
                  <c:v>Home Office</c:v>
                </c:pt>
              </c:strCache>
            </c:strRef>
          </c:cat>
          <c:val>
            <c:numRef>
              <c:f>'Pivot Table'!$V$3:$V$5</c:f>
              <c:numCache>
                <c:formatCode>General</c:formatCode>
                <c:ptCount val="3"/>
                <c:pt idx="0">
                  <c:v>122726.3300000001</c:v>
                </c:pt>
                <c:pt idx="1">
                  <c:v>70821.330000000031</c:v>
                </c:pt>
                <c:pt idx="2">
                  <c:v>51799.22</c:v>
                </c:pt>
              </c:numCache>
            </c:numRef>
          </c:val>
          <c:extLst>
            <c:ext xmlns:c16="http://schemas.microsoft.com/office/drawing/2014/chart" uri="{C3380CC4-5D6E-409C-BE32-E72D297353CC}">
              <c16:uniqueId val="{00000000-74A4-432B-B889-F8B778127A7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20498560"/>
        <c:axId val="1415295536"/>
      </c:areaChart>
      <c:catAx>
        <c:axId val="1420498560"/>
        <c:scaling>
          <c:orientation val="minMax"/>
        </c:scaling>
        <c:delete val="1"/>
        <c:axPos val="b"/>
        <c:numFmt formatCode="General" sourceLinked="1"/>
        <c:majorTickMark val="none"/>
        <c:minorTickMark val="none"/>
        <c:tickLblPos val="nextTo"/>
        <c:crossAx val="1415295536"/>
        <c:crosses val="autoZero"/>
        <c:auto val="1"/>
        <c:lblAlgn val="ctr"/>
        <c:lblOffset val="100"/>
        <c:noMultiLvlLbl val="0"/>
      </c:catAx>
      <c:valAx>
        <c:axId val="1415295536"/>
        <c:scaling>
          <c:orientation val="minMax"/>
        </c:scaling>
        <c:delete val="1"/>
        <c:axPos val="l"/>
        <c:numFmt formatCode="General" sourceLinked="1"/>
        <c:majorTickMark val="out"/>
        <c:minorTickMark val="none"/>
        <c:tickLblPos val="nextTo"/>
        <c:crossAx val="1420498560"/>
        <c:crosses val="autoZero"/>
        <c:crossBetween val="midCat"/>
      </c:valAx>
      <c:spPr>
        <a:solidFill>
          <a:srgbClr val="11111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areaChart>
        <c:grouping val="standard"/>
        <c:varyColors val="0"/>
        <c:ser>
          <c:idx val="0"/>
          <c:order val="0"/>
          <c:spPr>
            <a:gradFill>
              <a:gsLst>
                <a:gs pos="0">
                  <a:schemeClr val="lt1">
                    <a:alpha val="50000"/>
                  </a:schemeClr>
                </a:gs>
                <a:gs pos="100000">
                  <a:schemeClr val="lt1">
                    <a:alpha val="0"/>
                  </a:schemeClr>
                </a:gs>
              </a:gsLst>
              <a:lin ang="5400000" scaled="0"/>
            </a:gradFill>
            <a:ln>
              <a:noFill/>
            </a:ln>
            <a:effectLst>
              <a:innerShdw dist="38100" dir="16200000">
                <a:schemeClr val="lt1"/>
              </a:innerShdw>
            </a:effectLst>
          </c:spPr>
          <c:cat>
            <c:strRef>
              <c:f>'Pivot Table'!$BG$3:$BG$5</c:f>
              <c:strCache>
                <c:ptCount val="3"/>
                <c:pt idx="0">
                  <c:v>Furniture</c:v>
                </c:pt>
                <c:pt idx="1">
                  <c:v>Office Supplies</c:v>
                </c:pt>
                <c:pt idx="2">
                  <c:v>Technology</c:v>
                </c:pt>
              </c:strCache>
            </c:strRef>
          </c:cat>
          <c:val>
            <c:numRef>
              <c:f>'Pivot Table'!$BH$3:$BH$5</c:f>
              <c:numCache>
                <c:formatCode>General</c:formatCode>
                <c:ptCount val="3"/>
                <c:pt idx="0">
                  <c:v>80468.400000000038</c:v>
                </c:pt>
                <c:pt idx="1">
                  <c:v>68973.01999999996</c:v>
                </c:pt>
                <c:pt idx="2">
                  <c:v>95905.460000000021</c:v>
                </c:pt>
              </c:numCache>
            </c:numRef>
          </c:val>
          <c:extLst>
            <c:ext xmlns:c16="http://schemas.microsoft.com/office/drawing/2014/chart" uri="{C3380CC4-5D6E-409C-BE32-E72D297353CC}">
              <c16:uniqueId val="{00000000-6D98-4253-94CA-D047352B49F7}"/>
            </c:ext>
          </c:extLst>
        </c:ser>
        <c:dLbls>
          <c:showLegendKey val="0"/>
          <c:showVal val="0"/>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07164128"/>
        <c:axId val="1415301776"/>
      </c:areaChart>
      <c:catAx>
        <c:axId val="1407164128"/>
        <c:scaling>
          <c:orientation val="minMax"/>
        </c:scaling>
        <c:delete val="1"/>
        <c:axPos val="b"/>
        <c:numFmt formatCode="General" sourceLinked="1"/>
        <c:majorTickMark val="none"/>
        <c:minorTickMark val="none"/>
        <c:tickLblPos val="nextTo"/>
        <c:crossAx val="1415301776"/>
        <c:crosses val="autoZero"/>
        <c:auto val="1"/>
        <c:lblAlgn val="ctr"/>
        <c:lblOffset val="100"/>
        <c:noMultiLvlLbl val="0"/>
      </c:catAx>
      <c:valAx>
        <c:axId val="1415301776"/>
        <c:scaling>
          <c:orientation val="minMax"/>
        </c:scaling>
        <c:delete val="1"/>
        <c:axPos val="l"/>
        <c:numFmt formatCode="General" sourceLinked="1"/>
        <c:majorTickMark val="out"/>
        <c:minorTickMark val="none"/>
        <c:tickLblPos val="nextTo"/>
        <c:crossAx val="1407164128"/>
        <c:crosses val="autoZero"/>
        <c:crossBetween val="midCat"/>
      </c:valAx>
      <c:spPr>
        <a:solidFill>
          <a:srgbClr val="11111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7EBD-411E-8B6B-208D3F610323}">
          <cx:dataPt idx="0">
            <cx:spPr>
              <a:solidFill>
                <a:srgbClr val="66FFCC"/>
              </a:solidFill>
            </cx:spPr>
          </cx:dataPt>
          <cx:dataPt idx="1">
            <cx:spPr>
              <a:solidFill>
                <a:srgbClr val="92D050"/>
              </a:solidFill>
            </cx:spPr>
          </cx:dataPt>
          <cx:dataPt idx="2">
            <cx:spPr>
              <a:solidFill>
                <a:srgbClr val="006600"/>
              </a:solidFill>
            </cx:spPr>
          </cx:dataPt>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chart>
  <cx:spPr>
    <a:solidFill>
      <a:srgbClr val="11111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356073</xdr:colOff>
      <xdr:row>29</xdr:row>
      <xdr:rowOff>176156</xdr:rowOff>
    </xdr:to>
    <xdr:sp macro="" textlink="">
      <xdr:nvSpPr>
        <xdr:cNvPr id="2" name="Rectangle 1">
          <a:extLst>
            <a:ext uri="{FF2B5EF4-FFF2-40B4-BE49-F238E27FC236}">
              <a16:creationId xmlns:a16="http://schemas.microsoft.com/office/drawing/2014/main" id="{C865C3E4-D139-42EB-B33D-AD13A265F72F}"/>
            </a:ext>
          </a:extLst>
        </xdr:cNvPr>
        <xdr:cNvSpPr/>
      </xdr:nvSpPr>
      <xdr:spPr>
        <a:xfrm>
          <a:off x="0" y="0"/>
          <a:ext cx="14341467" cy="5533247"/>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IN" sz="1100"/>
        </a:p>
      </xdr:txBody>
    </xdr:sp>
    <xdr:clientData/>
  </xdr:twoCellAnchor>
  <xdr:twoCellAnchor>
    <xdr:from>
      <xdr:col>8</xdr:col>
      <xdr:colOff>601871</xdr:colOff>
      <xdr:row>0</xdr:row>
      <xdr:rowOff>83820</xdr:rowOff>
    </xdr:from>
    <xdr:to>
      <xdr:col>23</xdr:col>
      <xdr:colOff>238607</xdr:colOff>
      <xdr:row>5</xdr:row>
      <xdr:rowOff>6457</xdr:rowOff>
    </xdr:to>
    <xdr:sp macro="" textlink="">
      <xdr:nvSpPr>
        <xdr:cNvPr id="3" name="Rectangle 2">
          <a:extLst>
            <a:ext uri="{FF2B5EF4-FFF2-40B4-BE49-F238E27FC236}">
              <a16:creationId xmlns:a16="http://schemas.microsoft.com/office/drawing/2014/main" id="{31E6CCFB-9E10-127D-473E-480B82A90600}"/>
            </a:ext>
          </a:extLst>
        </xdr:cNvPr>
        <xdr:cNvSpPr/>
      </xdr:nvSpPr>
      <xdr:spPr>
        <a:xfrm>
          <a:off x="5461001" y="83820"/>
          <a:ext cx="8747606" cy="833724"/>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417871</xdr:colOff>
      <xdr:row>7</xdr:row>
      <xdr:rowOff>7621</xdr:rowOff>
    </xdr:from>
    <xdr:to>
      <xdr:col>23</xdr:col>
      <xdr:colOff>238606</xdr:colOff>
      <xdr:row>29</xdr:row>
      <xdr:rowOff>57355</xdr:rowOff>
    </xdr:to>
    <xdr:sp macro="" textlink="">
      <xdr:nvSpPr>
        <xdr:cNvPr id="7" name="Rectangle 6">
          <a:extLst>
            <a:ext uri="{FF2B5EF4-FFF2-40B4-BE49-F238E27FC236}">
              <a16:creationId xmlns:a16="http://schemas.microsoft.com/office/drawing/2014/main" id="{25F0591E-04D2-4CE7-BD71-D070485861A5}"/>
            </a:ext>
          </a:extLst>
        </xdr:cNvPr>
        <xdr:cNvSpPr/>
      </xdr:nvSpPr>
      <xdr:spPr>
        <a:xfrm>
          <a:off x="2849224" y="1302581"/>
          <a:ext cx="11369659" cy="4119606"/>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98323</xdr:colOff>
      <xdr:row>0</xdr:row>
      <xdr:rowOff>178076</xdr:rowOff>
    </xdr:from>
    <xdr:to>
      <xdr:col>8</xdr:col>
      <xdr:colOff>503295</xdr:colOff>
      <xdr:row>4</xdr:row>
      <xdr:rowOff>32776</xdr:rowOff>
    </xdr:to>
    <xdr:sp macro="" textlink="">
      <xdr:nvSpPr>
        <xdr:cNvPr id="8" name="TextBox 7">
          <a:extLst>
            <a:ext uri="{FF2B5EF4-FFF2-40B4-BE49-F238E27FC236}">
              <a16:creationId xmlns:a16="http://schemas.microsoft.com/office/drawing/2014/main" id="{9C3EB1CE-83F3-251B-31CC-1AF44EBAAF3E}"/>
            </a:ext>
          </a:extLst>
        </xdr:cNvPr>
        <xdr:cNvSpPr txBox="1"/>
      </xdr:nvSpPr>
      <xdr:spPr>
        <a:xfrm>
          <a:off x="98323" y="178076"/>
          <a:ext cx="5275146" cy="583570"/>
        </a:xfrm>
        <a:prstGeom prst="rect">
          <a:avLst/>
        </a:prstGeom>
        <a:solidFill>
          <a:srgbClr val="66F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Bahnschrift" panose="020B0502040204020203" pitchFamily="34" charset="0"/>
            </a:rPr>
            <a:t>SUPERSTORE</a:t>
          </a:r>
          <a:r>
            <a:rPr lang="en-IN" sz="2400" b="1" baseline="0">
              <a:latin typeface="Bahnschrift" panose="020B0502040204020203" pitchFamily="34" charset="0"/>
            </a:rPr>
            <a:t> SALES DASHBOARD</a:t>
          </a:r>
        </a:p>
        <a:p>
          <a:endParaRPr lang="en-IN" sz="1100"/>
        </a:p>
      </xdr:txBody>
    </xdr:sp>
    <xdr:clientData/>
  </xdr:twoCellAnchor>
  <xdr:twoCellAnchor>
    <xdr:from>
      <xdr:col>9</xdr:col>
      <xdr:colOff>275170</xdr:colOff>
      <xdr:row>0</xdr:row>
      <xdr:rowOff>130849</xdr:rowOff>
    </xdr:from>
    <xdr:to>
      <xdr:col>13</xdr:col>
      <xdr:colOff>467594</xdr:colOff>
      <xdr:row>5</xdr:row>
      <xdr:rowOff>30789</xdr:rowOff>
    </xdr:to>
    <xdr:sp macro="" textlink="">
      <xdr:nvSpPr>
        <xdr:cNvPr id="5" name="Rectangle 4">
          <a:extLst>
            <a:ext uri="{FF2B5EF4-FFF2-40B4-BE49-F238E27FC236}">
              <a16:creationId xmlns:a16="http://schemas.microsoft.com/office/drawing/2014/main" id="{C1CE333B-8828-E473-D935-DEC78E3E6201}"/>
            </a:ext>
          </a:extLst>
        </xdr:cNvPr>
        <xdr:cNvSpPr/>
      </xdr:nvSpPr>
      <xdr:spPr>
        <a:xfrm>
          <a:off x="5775858" y="130849"/>
          <a:ext cx="2637174" cy="812753"/>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270120</xdr:colOff>
      <xdr:row>0</xdr:row>
      <xdr:rowOff>139290</xdr:rowOff>
    </xdr:from>
    <xdr:to>
      <xdr:col>13</xdr:col>
      <xdr:colOff>316302</xdr:colOff>
      <xdr:row>4</xdr:row>
      <xdr:rowOff>146243</xdr:rowOff>
    </xdr:to>
    <xdr:grpSp>
      <xdr:nvGrpSpPr>
        <xdr:cNvPr id="6" name="Group 5">
          <a:extLst>
            <a:ext uri="{FF2B5EF4-FFF2-40B4-BE49-F238E27FC236}">
              <a16:creationId xmlns:a16="http://schemas.microsoft.com/office/drawing/2014/main" id="{5D6AF735-9741-B9CB-1992-FAB2467AEEBE}"/>
            </a:ext>
          </a:extLst>
        </xdr:cNvPr>
        <xdr:cNvGrpSpPr/>
      </xdr:nvGrpSpPr>
      <xdr:grpSpPr>
        <a:xfrm>
          <a:off x="6381209" y="139290"/>
          <a:ext cx="1879509" cy="731230"/>
          <a:chOff x="5918970" y="139290"/>
          <a:chExt cx="1870365" cy="745862"/>
        </a:xfrm>
        <a:noFill/>
      </xdr:grpSpPr>
      <xdr:sp macro="" textlink="">
        <xdr:nvSpPr>
          <xdr:cNvPr id="9" name="TextBox 8">
            <a:extLst>
              <a:ext uri="{FF2B5EF4-FFF2-40B4-BE49-F238E27FC236}">
                <a16:creationId xmlns:a16="http://schemas.microsoft.com/office/drawing/2014/main" id="{CDDDA7C7-1213-736C-219D-558E3EF13FB3}"/>
              </a:ext>
            </a:extLst>
          </xdr:cNvPr>
          <xdr:cNvSpPr txBox="1"/>
        </xdr:nvSpPr>
        <xdr:spPr>
          <a:xfrm>
            <a:off x="5996933" y="139290"/>
            <a:ext cx="1018568" cy="3366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rPr>
              <a:t>Total </a:t>
            </a:r>
            <a:r>
              <a:rPr lang="en-IN" sz="1400">
                <a:solidFill>
                  <a:schemeClr val="bg1"/>
                </a:solidFill>
                <a:latin typeface="+mn-lt"/>
                <a:ea typeface="+mn-ea"/>
                <a:cs typeface="+mn-cs"/>
              </a:rPr>
              <a:t>Sales</a:t>
            </a:r>
          </a:p>
        </xdr:txBody>
      </xdr:sp>
      <xdr:sp macro="" textlink="'Pivot Table'!$AZ$3">
        <xdr:nvSpPr>
          <xdr:cNvPr id="15" name="TextBox 14">
            <a:extLst>
              <a:ext uri="{FF2B5EF4-FFF2-40B4-BE49-F238E27FC236}">
                <a16:creationId xmlns:a16="http://schemas.microsoft.com/office/drawing/2014/main" id="{00B58395-94D0-9E60-668A-7C9D4E6165A4}"/>
              </a:ext>
            </a:extLst>
          </xdr:cNvPr>
          <xdr:cNvSpPr txBox="1"/>
        </xdr:nvSpPr>
        <xdr:spPr>
          <a:xfrm>
            <a:off x="5918970" y="483170"/>
            <a:ext cx="1870365" cy="4019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AC34E4-61A3-4844-AFFE-DEFC74F62EA4}" type="TxLink">
              <a:rPr lang="en-US" sz="2400" b="0" i="0" u="none" strike="noStrike">
                <a:solidFill>
                  <a:schemeClr val="bg1"/>
                </a:solidFill>
                <a:latin typeface="Calibri"/>
                <a:ea typeface="Calibri"/>
                <a:cs typeface="Calibri"/>
              </a:rPr>
              <a:pPr marL="0" indent="0"/>
              <a:t> ₹ 245,346.88 </a:t>
            </a:fld>
            <a:endParaRPr lang="en-IN" sz="2400" b="0" i="0" u="none" strike="noStrike">
              <a:solidFill>
                <a:schemeClr val="bg1"/>
              </a:solidFill>
              <a:latin typeface="Calibri"/>
              <a:ea typeface="Calibri"/>
              <a:cs typeface="Calibri"/>
            </a:endParaRPr>
          </a:p>
        </xdr:txBody>
      </xdr:sp>
    </xdr:grpSp>
    <xdr:clientData/>
  </xdr:twoCellAnchor>
  <xdr:twoCellAnchor>
    <xdr:from>
      <xdr:col>14</xdr:col>
      <xdr:colOff>84325</xdr:colOff>
      <xdr:row>0</xdr:row>
      <xdr:rowOff>130001</xdr:rowOff>
    </xdr:from>
    <xdr:to>
      <xdr:col>18</xdr:col>
      <xdr:colOff>12564</xdr:colOff>
      <xdr:row>5</xdr:row>
      <xdr:rowOff>29941</xdr:rowOff>
    </xdr:to>
    <xdr:sp macro="" textlink="">
      <xdr:nvSpPr>
        <xdr:cNvPr id="10" name="Rectangle 9">
          <a:extLst>
            <a:ext uri="{FF2B5EF4-FFF2-40B4-BE49-F238E27FC236}">
              <a16:creationId xmlns:a16="http://schemas.microsoft.com/office/drawing/2014/main" id="{B16FB3F3-CFC9-4866-97A6-8A589E49B032}"/>
            </a:ext>
          </a:extLst>
        </xdr:cNvPr>
        <xdr:cNvSpPr/>
      </xdr:nvSpPr>
      <xdr:spPr>
        <a:xfrm>
          <a:off x="8608516" y="130001"/>
          <a:ext cx="2363723" cy="811423"/>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280532</xdr:colOff>
      <xdr:row>0</xdr:row>
      <xdr:rowOff>122304</xdr:rowOff>
    </xdr:from>
    <xdr:to>
      <xdr:col>18</xdr:col>
      <xdr:colOff>226654</xdr:colOff>
      <xdr:row>4</xdr:row>
      <xdr:rowOff>146242</xdr:rowOff>
    </xdr:to>
    <xdr:grpSp>
      <xdr:nvGrpSpPr>
        <xdr:cNvPr id="14" name="Group 13">
          <a:extLst>
            <a:ext uri="{FF2B5EF4-FFF2-40B4-BE49-F238E27FC236}">
              <a16:creationId xmlns:a16="http://schemas.microsoft.com/office/drawing/2014/main" id="{CA437597-6B81-4B65-9B0F-9344FFE7DC63}"/>
            </a:ext>
          </a:extLst>
        </xdr:cNvPr>
        <xdr:cNvGrpSpPr/>
      </xdr:nvGrpSpPr>
      <xdr:grpSpPr>
        <a:xfrm>
          <a:off x="9447166" y="122304"/>
          <a:ext cx="1779448" cy="748215"/>
          <a:chOff x="5948264" y="139290"/>
          <a:chExt cx="1770304" cy="762847"/>
        </a:xfrm>
        <a:noFill/>
      </xdr:grpSpPr>
      <xdr:sp macro="" textlink="">
        <xdr:nvSpPr>
          <xdr:cNvPr id="16" name="TextBox 15">
            <a:extLst>
              <a:ext uri="{FF2B5EF4-FFF2-40B4-BE49-F238E27FC236}">
                <a16:creationId xmlns:a16="http://schemas.microsoft.com/office/drawing/2014/main" id="{928218B9-FE1B-F9C8-3855-E76E7F44137B}"/>
              </a:ext>
            </a:extLst>
          </xdr:cNvPr>
          <xdr:cNvSpPr txBox="1"/>
        </xdr:nvSpPr>
        <xdr:spPr>
          <a:xfrm>
            <a:off x="5996933" y="139290"/>
            <a:ext cx="1018568" cy="3366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rPr>
              <a:t>Total </a:t>
            </a:r>
            <a:r>
              <a:rPr lang="en-IN" sz="1400">
                <a:solidFill>
                  <a:schemeClr val="bg1"/>
                </a:solidFill>
                <a:latin typeface="+mn-lt"/>
                <a:ea typeface="+mn-ea"/>
                <a:cs typeface="+mn-cs"/>
              </a:rPr>
              <a:t>Profit</a:t>
            </a:r>
          </a:p>
        </xdr:txBody>
      </xdr:sp>
      <xdr:sp macro="" textlink="'Pivot Table'!AZ4">
        <xdr:nvSpPr>
          <xdr:cNvPr id="17" name="TextBox 16">
            <a:extLst>
              <a:ext uri="{FF2B5EF4-FFF2-40B4-BE49-F238E27FC236}">
                <a16:creationId xmlns:a16="http://schemas.microsoft.com/office/drawing/2014/main" id="{091D7D9F-0016-D661-F409-7BD6E642D169}"/>
              </a:ext>
            </a:extLst>
          </xdr:cNvPr>
          <xdr:cNvSpPr txBox="1"/>
        </xdr:nvSpPr>
        <xdr:spPr>
          <a:xfrm>
            <a:off x="5948264" y="498565"/>
            <a:ext cx="1770304" cy="4035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CE9137C-B996-438A-9ACD-D6F03BB98E4A}" type="TxLink">
              <a:rPr lang="en-US" sz="2400" b="0" i="0" u="none" strike="noStrike">
                <a:solidFill>
                  <a:schemeClr val="bg1"/>
                </a:solidFill>
                <a:latin typeface="Calibri"/>
                <a:ea typeface="Calibri"/>
                <a:cs typeface="Calibri"/>
              </a:rPr>
              <a:pPr marL="0" indent="0"/>
              <a:t> ₹ 19,396.41 </a:t>
            </a:fld>
            <a:endParaRPr lang="en-US" sz="2400" b="0" i="0" u="none" strike="noStrike">
              <a:solidFill>
                <a:schemeClr val="bg1"/>
              </a:solidFill>
              <a:latin typeface="Calibri"/>
              <a:ea typeface="Calibri"/>
              <a:cs typeface="Calibri"/>
            </a:endParaRPr>
          </a:p>
        </xdr:txBody>
      </xdr:sp>
    </xdr:grpSp>
    <xdr:clientData/>
  </xdr:twoCellAnchor>
  <xdr:twoCellAnchor>
    <xdr:from>
      <xdr:col>18</xdr:col>
      <xdr:colOff>274673</xdr:colOff>
      <xdr:row>0</xdr:row>
      <xdr:rowOff>137699</xdr:rowOff>
    </xdr:from>
    <xdr:to>
      <xdr:col>22</xdr:col>
      <xdr:colOff>348343</xdr:colOff>
      <xdr:row>5</xdr:row>
      <xdr:rowOff>37639</xdr:rowOff>
    </xdr:to>
    <xdr:sp macro="" textlink="">
      <xdr:nvSpPr>
        <xdr:cNvPr id="18" name="Rectangle 17">
          <a:extLst>
            <a:ext uri="{FF2B5EF4-FFF2-40B4-BE49-F238E27FC236}">
              <a16:creationId xmlns:a16="http://schemas.microsoft.com/office/drawing/2014/main" id="{BD86757C-AF20-4806-80E6-A63978901AAB}"/>
            </a:ext>
          </a:extLst>
        </xdr:cNvPr>
        <xdr:cNvSpPr/>
      </xdr:nvSpPr>
      <xdr:spPr>
        <a:xfrm>
          <a:off x="11247473" y="137699"/>
          <a:ext cx="2512070" cy="807083"/>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312185</xdr:colOff>
      <xdr:row>0</xdr:row>
      <xdr:rowOff>122305</xdr:rowOff>
    </xdr:from>
    <xdr:to>
      <xdr:col>21</xdr:col>
      <xdr:colOff>123373</xdr:colOff>
      <xdr:row>4</xdr:row>
      <xdr:rowOff>130849</xdr:rowOff>
    </xdr:to>
    <xdr:grpSp>
      <xdr:nvGrpSpPr>
        <xdr:cNvPr id="20" name="Group 19">
          <a:extLst>
            <a:ext uri="{FF2B5EF4-FFF2-40B4-BE49-F238E27FC236}">
              <a16:creationId xmlns:a16="http://schemas.microsoft.com/office/drawing/2014/main" id="{C2838B25-7AD6-48ED-B794-0EF5B1269042}"/>
            </a:ext>
          </a:extLst>
        </xdr:cNvPr>
        <xdr:cNvGrpSpPr/>
      </xdr:nvGrpSpPr>
      <xdr:grpSpPr>
        <a:xfrm>
          <a:off x="11923254" y="122305"/>
          <a:ext cx="1033406" cy="732821"/>
          <a:chOff x="6104691" y="154684"/>
          <a:chExt cx="1027057" cy="747453"/>
        </a:xfrm>
        <a:noFill/>
      </xdr:grpSpPr>
      <xdr:sp macro="" textlink="">
        <xdr:nvSpPr>
          <xdr:cNvPr id="21" name="TextBox 20">
            <a:extLst>
              <a:ext uri="{FF2B5EF4-FFF2-40B4-BE49-F238E27FC236}">
                <a16:creationId xmlns:a16="http://schemas.microsoft.com/office/drawing/2014/main" id="{39052F32-0FEE-973F-C36B-FEAA746D70D9}"/>
              </a:ext>
            </a:extLst>
          </xdr:cNvPr>
          <xdr:cNvSpPr txBox="1"/>
        </xdr:nvSpPr>
        <xdr:spPr>
          <a:xfrm>
            <a:off x="6104691" y="154684"/>
            <a:ext cx="949431" cy="33668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solidFill>
                  <a:schemeClr val="bg1"/>
                </a:solidFill>
                <a:latin typeface="+mn-lt"/>
                <a:ea typeface="+mn-ea"/>
                <a:cs typeface="+mn-cs"/>
              </a:rPr>
              <a:t>Profit %</a:t>
            </a:r>
          </a:p>
        </xdr:txBody>
      </xdr:sp>
      <xdr:sp macro="" textlink="'Pivot Table'!AZ5">
        <xdr:nvSpPr>
          <xdr:cNvPr id="22" name="TextBox 21">
            <a:extLst>
              <a:ext uri="{FF2B5EF4-FFF2-40B4-BE49-F238E27FC236}">
                <a16:creationId xmlns:a16="http://schemas.microsoft.com/office/drawing/2014/main" id="{97BA4A09-2D03-DCE4-0688-8B07C6285D8D}"/>
              </a:ext>
            </a:extLst>
          </xdr:cNvPr>
          <xdr:cNvSpPr txBox="1"/>
        </xdr:nvSpPr>
        <xdr:spPr>
          <a:xfrm>
            <a:off x="6138180" y="498565"/>
            <a:ext cx="993568" cy="40357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6853E12-A177-4D8F-93AD-D4266BF6BFB2}" type="TxLink">
              <a:rPr lang="en-US" sz="2400" b="0" i="0" u="none" strike="noStrike">
                <a:solidFill>
                  <a:schemeClr val="bg1"/>
                </a:solidFill>
                <a:latin typeface="Calibri"/>
                <a:ea typeface="Calibri"/>
                <a:cs typeface="Calibri"/>
              </a:rPr>
              <a:pPr marL="0" indent="0"/>
              <a:t>7.91%</a:t>
            </a:fld>
            <a:endParaRPr lang="en-US" sz="2400" b="0" i="0" u="none" strike="noStrike">
              <a:solidFill>
                <a:schemeClr val="bg1"/>
              </a:solidFill>
              <a:latin typeface="Calibri"/>
              <a:ea typeface="Calibri"/>
              <a:cs typeface="Calibri"/>
            </a:endParaRPr>
          </a:p>
        </xdr:txBody>
      </xdr:sp>
    </xdr:grpSp>
    <xdr:clientData/>
  </xdr:twoCellAnchor>
  <xdr:twoCellAnchor>
    <xdr:from>
      <xdr:col>4</xdr:col>
      <xdr:colOff>471749</xdr:colOff>
      <xdr:row>12</xdr:row>
      <xdr:rowOff>141942</xdr:rowOff>
    </xdr:from>
    <xdr:to>
      <xdr:col>12</xdr:col>
      <xdr:colOff>94511</xdr:colOff>
      <xdr:row>20</xdr:row>
      <xdr:rowOff>90785</xdr:rowOff>
    </xdr:to>
    <xdr:graphicFrame macro="">
      <xdr:nvGraphicFramePr>
        <xdr:cNvPr id="23" name="Chart 22">
          <a:extLst>
            <a:ext uri="{FF2B5EF4-FFF2-40B4-BE49-F238E27FC236}">
              <a16:creationId xmlns:a16="http://schemas.microsoft.com/office/drawing/2014/main" id="{D175798A-9C07-4004-90C3-272F0E814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477057</xdr:colOff>
      <xdr:row>21</xdr:row>
      <xdr:rowOff>7470</xdr:rowOff>
    </xdr:from>
    <xdr:to>
      <xdr:col>12</xdr:col>
      <xdr:colOff>86809</xdr:colOff>
      <xdr:row>28</xdr:row>
      <xdr:rowOff>155278</xdr:rowOff>
    </xdr:to>
    <xdr:graphicFrame macro="">
      <xdr:nvGraphicFramePr>
        <xdr:cNvPr id="24" name="Chart 23">
          <a:extLst>
            <a:ext uri="{FF2B5EF4-FFF2-40B4-BE49-F238E27FC236}">
              <a16:creationId xmlns:a16="http://schemas.microsoft.com/office/drawing/2014/main" id="{CDA5C7B8-32E7-4673-AC61-6DAE3BB05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173335</xdr:colOff>
      <xdr:row>7</xdr:row>
      <xdr:rowOff>23091</xdr:rowOff>
    </xdr:from>
    <xdr:to>
      <xdr:col>16</xdr:col>
      <xdr:colOff>38033</xdr:colOff>
      <xdr:row>28</xdr:row>
      <xdr:rowOff>154477</xdr:rowOff>
    </xdr:to>
    <xdr:graphicFrame macro="">
      <xdr:nvGraphicFramePr>
        <xdr:cNvPr id="26" name="Chart 25">
          <a:extLst>
            <a:ext uri="{FF2B5EF4-FFF2-40B4-BE49-F238E27FC236}">
              <a16:creationId xmlns:a16="http://schemas.microsoft.com/office/drawing/2014/main" id="{41BD05B5-D26C-476D-B2DF-E9814BB99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115300</xdr:colOff>
      <xdr:row>7</xdr:row>
      <xdr:rowOff>23014</xdr:rowOff>
    </xdr:from>
    <xdr:to>
      <xdr:col>19</xdr:col>
      <xdr:colOff>257820</xdr:colOff>
      <xdr:row>16</xdr:row>
      <xdr:rowOff>166914</xdr:rowOff>
    </xdr:to>
    <xdr:graphicFrame macro="">
      <xdr:nvGraphicFramePr>
        <xdr:cNvPr id="30" name="Chart 29">
          <a:extLst>
            <a:ext uri="{FF2B5EF4-FFF2-40B4-BE49-F238E27FC236}">
              <a16:creationId xmlns:a16="http://schemas.microsoft.com/office/drawing/2014/main" id="{D4AFAF24-8C49-4B85-9A60-0E948B6C0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355218</xdr:colOff>
      <xdr:row>7</xdr:row>
      <xdr:rowOff>26869</xdr:rowOff>
    </xdr:from>
    <xdr:to>
      <xdr:col>23</xdr:col>
      <xdr:colOff>155434</xdr:colOff>
      <xdr:row>18</xdr:row>
      <xdr:rowOff>5730</xdr:rowOff>
    </xdr:to>
    <xdr:graphicFrame macro="">
      <xdr:nvGraphicFramePr>
        <xdr:cNvPr id="12" name="Chart 11">
          <a:extLst>
            <a:ext uri="{FF2B5EF4-FFF2-40B4-BE49-F238E27FC236}">
              <a16:creationId xmlns:a16="http://schemas.microsoft.com/office/drawing/2014/main" id="{9852FD47-DEB5-4345-A6A4-BD8C474BF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366677</xdr:colOff>
      <xdr:row>18</xdr:row>
      <xdr:rowOff>103127</xdr:rowOff>
    </xdr:from>
    <xdr:to>
      <xdr:col>23</xdr:col>
      <xdr:colOff>159271</xdr:colOff>
      <xdr:row>28</xdr:row>
      <xdr:rowOff>160421</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A43B4289-EB47-4436-AE5A-B19DCF3E91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949077" y="3394967"/>
              <a:ext cx="2230994" cy="18860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131775</xdr:colOff>
      <xdr:row>17</xdr:row>
      <xdr:rowOff>101601</xdr:rowOff>
    </xdr:from>
    <xdr:to>
      <xdr:col>19</xdr:col>
      <xdr:colOff>275037</xdr:colOff>
      <xdr:row>28</xdr:row>
      <xdr:rowOff>161159</xdr:rowOff>
    </xdr:to>
    <xdr:graphicFrame macro="">
      <xdr:nvGraphicFramePr>
        <xdr:cNvPr id="25" name="Chart 24">
          <a:extLst>
            <a:ext uri="{FF2B5EF4-FFF2-40B4-BE49-F238E27FC236}">
              <a16:creationId xmlns:a16="http://schemas.microsoft.com/office/drawing/2014/main" id="{28AA0BEE-0BAE-4A3D-8913-223ADC42B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474511</xdr:colOff>
      <xdr:row>7</xdr:row>
      <xdr:rowOff>38105</xdr:rowOff>
    </xdr:from>
    <xdr:to>
      <xdr:col>8</xdr:col>
      <xdr:colOff>387743</xdr:colOff>
      <xdr:row>12</xdr:row>
      <xdr:rowOff>44138</xdr:rowOff>
    </xdr:to>
    <xdr:grpSp>
      <xdr:nvGrpSpPr>
        <xdr:cNvPr id="33" name="Group 32">
          <a:extLst>
            <a:ext uri="{FF2B5EF4-FFF2-40B4-BE49-F238E27FC236}">
              <a16:creationId xmlns:a16="http://schemas.microsoft.com/office/drawing/2014/main" id="{C4632C5E-1726-4CBE-88C7-2DB313D67FF7}"/>
            </a:ext>
          </a:extLst>
        </xdr:cNvPr>
        <xdr:cNvGrpSpPr/>
      </xdr:nvGrpSpPr>
      <xdr:grpSpPr>
        <a:xfrm>
          <a:off x="2918947" y="1305590"/>
          <a:ext cx="2357667" cy="911380"/>
          <a:chOff x="6310461" y="116611"/>
          <a:chExt cx="1066222" cy="672928"/>
        </a:xfrm>
        <a:solidFill>
          <a:srgbClr val="111111"/>
        </a:solidFill>
      </xdr:grpSpPr>
      <xdr:sp macro="" textlink="">
        <xdr:nvSpPr>
          <xdr:cNvPr id="34" name="TextBox 33">
            <a:extLst>
              <a:ext uri="{FF2B5EF4-FFF2-40B4-BE49-F238E27FC236}">
                <a16:creationId xmlns:a16="http://schemas.microsoft.com/office/drawing/2014/main" id="{5CE13898-B4BD-D0A9-14F8-B4195A1A4795}"/>
              </a:ext>
            </a:extLst>
          </xdr:cNvPr>
          <xdr:cNvSpPr txBox="1"/>
        </xdr:nvSpPr>
        <xdr:spPr>
          <a:xfrm>
            <a:off x="6310461" y="116611"/>
            <a:ext cx="1066222" cy="3096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1400">
                <a:solidFill>
                  <a:schemeClr val="bg1"/>
                </a:solidFill>
              </a:rPr>
              <a:t>Top</a:t>
            </a:r>
            <a:r>
              <a:rPr lang="en-IN" sz="1400" baseline="0">
                <a:solidFill>
                  <a:schemeClr val="bg1"/>
                </a:solidFill>
              </a:rPr>
              <a:t> Segment</a:t>
            </a:r>
            <a:endParaRPr lang="en-IN" sz="1400">
              <a:solidFill>
                <a:schemeClr val="bg1"/>
              </a:solidFill>
              <a:latin typeface="+mn-lt"/>
              <a:ea typeface="+mn-ea"/>
              <a:cs typeface="+mn-cs"/>
            </a:endParaRPr>
          </a:p>
        </xdr:txBody>
      </xdr:sp>
      <xdr:sp macro="" textlink="'Pivot Table'!Q2">
        <xdr:nvSpPr>
          <xdr:cNvPr id="35" name="TextBox 34">
            <a:extLst>
              <a:ext uri="{FF2B5EF4-FFF2-40B4-BE49-F238E27FC236}">
                <a16:creationId xmlns:a16="http://schemas.microsoft.com/office/drawing/2014/main" id="{47D87E3A-B923-4BC1-AAAE-8DFED6AD44D1}"/>
              </a:ext>
            </a:extLst>
          </xdr:cNvPr>
          <xdr:cNvSpPr txBox="1"/>
        </xdr:nvSpPr>
        <xdr:spPr>
          <a:xfrm>
            <a:off x="6311258" y="426217"/>
            <a:ext cx="1064836" cy="3633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2000" b="0" i="0" u="none" strike="noStrike">
                <a:solidFill>
                  <a:schemeClr val="bg1"/>
                </a:solidFill>
                <a:latin typeface="Calibri"/>
                <a:ea typeface="Calibri"/>
                <a:cs typeface="Calibri"/>
              </a:rPr>
              <a:t>Consumer</a:t>
            </a:r>
            <a:endParaRPr lang="en-IN" sz="2000" b="0" i="0" u="none" strike="noStrike">
              <a:solidFill>
                <a:schemeClr val="bg1"/>
              </a:solidFill>
              <a:latin typeface="Calibri"/>
              <a:ea typeface="Calibri"/>
              <a:cs typeface="Calibri"/>
            </a:endParaRPr>
          </a:p>
        </xdr:txBody>
      </xdr:sp>
    </xdr:grpSp>
    <xdr:clientData/>
  </xdr:twoCellAnchor>
  <xdr:twoCellAnchor>
    <xdr:from>
      <xdr:col>7</xdr:col>
      <xdr:colOff>50020</xdr:colOff>
      <xdr:row>8</xdr:row>
      <xdr:rowOff>53726</xdr:rowOff>
    </xdr:from>
    <xdr:to>
      <xdr:col>8</xdr:col>
      <xdr:colOff>327659</xdr:colOff>
      <xdr:row>11</xdr:row>
      <xdr:rowOff>107604</xdr:rowOff>
    </xdr:to>
    <xdr:graphicFrame macro="">
      <xdr:nvGraphicFramePr>
        <xdr:cNvPr id="45" name="Chart 44">
          <a:extLst>
            <a:ext uri="{FF2B5EF4-FFF2-40B4-BE49-F238E27FC236}">
              <a16:creationId xmlns:a16="http://schemas.microsoft.com/office/drawing/2014/main" id="{1D9B1B61-9F16-4138-A68E-44F29F93F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472677</xdr:colOff>
      <xdr:row>7</xdr:row>
      <xdr:rowOff>33646</xdr:rowOff>
    </xdr:from>
    <xdr:to>
      <xdr:col>12</xdr:col>
      <xdr:colOff>103372</xdr:colOff>
      <xdr:row>12</xdr:row>
      <xdr:rowOff>44738</xdr:rowOff>
    </xdr:to>
    <xdr:grpSp>
      <xdr:nvGrpSpPr>
        <xdr:cNvPr id="11" name="Group 10">
          <a:extLst>
            <a:ext uri="{FF2B5EF4-FFF2-40B4-BE49-F238E27FC236}">
              <a16:creationId xmlns:a16="http://schemas.microsoft.com/office/drawing/2014/main" id="{EEC046EA-ADB2-6473-4EF8-023AD5307289}"/>
            </a:ext>
          </a:extLst>
        </xdr:cNvPr>
        <xdr:cNvGrpSpPr/>
      </xdr:nvGrpSpPr>
      <xdr:grpSpPr>
        <a:xfrm>
          <a:off x="5361548" y="1301131"/>
          <a:ext cx="2075131" cy="916439"/>
          <a:chOff x="5370318" y="1310159"/>
          <a:chExt cx="2079516" cy="922887"/>
        </a:xfrm>
      </xdr:grpSpPr>
      <xdr:grpSp>
        <xdr:nvGrpSpPr>
          <xdr:cNvPr id="41" name="Group 40">
            <a:extLst>
              <a:ext uri="{FF2B5EF4-FFF2-40B4-BE49-F238E27FC236}">
                <a16:creationId xmlns:a16="http://schemas.microsoft.com/office/drawing/2014/main" id="{3DFE3E41-10EE-48F1-8E6E-B661443DF0C7}"/>
              </a:ext>
            </a:extLst>
          </xdr:cNvPr>
          <xdr:cNvGrpSpPr/>
        </xdr:nvGrpSpPr>
        <xdr:grpSpPr>
          <a:xfrm>
            <a:off x="5370318" y="1310159"/>
            <a:ext cx="2079516" cy="922887"/>
            <a:chOff x="6310461" y="119600"/>
            <a:chExt cx="1066222" cy="669939"/>
          </a:xfrm>
          <a:solidFill>
            <a:srgbClr val="111111"/>
          </a:solidFill>
        </xdr:grpSpPr>
        <xdr:sp macro="" textlink="">
          <xdr:nvSpPr>
            <xdr:cNvPr id="42" name="TextBox 41">
              <a:extLst>
                <a:ext uri="{FF2B5EF4-FFF2-40B4-BE49-F238E27FC236}">
                  <a16:creationId xmlns:a16="http://schemas.microsoft.com/office/drawing/2014/main" id="{CA44BAA1-34FD-3113-6DDC-324FBDDEA248}"/>
                </a:ext>
              </a:extLst>
            </xdr:cNvPr>
            <xdr:cNvSpPr txBox="1"/>
          </xdr:nvSpPr>
          <xdr:spPr>
            <a:xfrm>
              <a:off x="6310461" y="119600"/>
              <a:ext cx="1066222" cy="3066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l"/>
              <a:r>
                <a:rPr lang="en-IN" sz="1400">
                  <a:solidFill>
                    <a:schemeClr val="bg1"/>
                  </a:solidFill>
                </a:rPr>
                <a:t>Top</a:t>
              </a:r>
              <a:r>
                <a:rPr lang="en-IN" sz="1400" baseline="0">
                  <a:solidFill>
                    <a:schemeClr val="bg1"/>
                  </a:solidFill>
                </a:rPr>
                <a:t> Category</a:t>
              </a:r>
              <a:endParaRPr lang="en-IN" sz="1400">
                <a:solidFill>
                  <a:schemeClr val="bg1"/>
                </a:solidFill>
                <a:latin typeface="+mn-lt"/>
                <a:ea typeface="+mn-ea"/>
                <a:cs typeface="+mn-cs"/>
              </a:endParaRPr>
            </a:p>
          </xdr:txBody>
        </xdr:sp>
        <xdr:sp macro="" textlink="'Pivot Table'!BD2">
          <xdr:nvSpPr>
            <xdr:cNvPr id="43" name="TextBox 42">
              <a:extLst>
                <a:ext uri="{FF2B5EF4-FFF2-40B4-BE49-F238E27FC236}">
                  <a16:creationId xmlns:a16="http://schemas.microsoft.com/office/drawing/2014/main" id="{7EBDAFC5-21B2-6E24-23FF-1D983535A757}"/>
                </a:ext>
              </a:extLst>
            </xdr:cNvPr>
            <xdr:cNvSpPr txBox="1"/>
          </xdr:nvSpPr>
          <xdr:spPr>
            <a:xfrm>
              <a:off x="6311257" y="426217"/>
              <a:ext cx="1064836" cy="36332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85399B7-9A91-42F5-A131-BC811F455AB8}" type="TxLink">
                <a:rPr lang="en-US" sz="1400" b="0" i="0" u="none" strike="noStrike">
                  <a:solidFill>
                    <a:schemeClr val="bg1"/>
                  </a:solidFill>
                  <a:latin typeface="Calibri"/>
                  <a:ea typeface="Calibri"/>
                  <a:cs typeface="Calibri"/>
                </a:rPr>
                <a:pPr marL="0" indent="0"/>
                <a:t>Technology</a:t>
              </a:fld>
              <a:endParaRPr lang="en-US" sz="1400" b="0" i="0" u="none" strike="noStrike">
                <a:solidFill>
                  <a:schemeClr val="bg1"/>
                </a:solidFill>
                <a:latin typeface="Calibri"/>
                <a:ea typeface="Calibri"/>
                <a:cs typeface="Calibri"/>
              </a:endParaRPr>
            </a:p>
          </xdr:txBody>
        </xdr:sp>
      </xdr:grpSp>
      <xdr:graphicFrame macro="">
        <xdr:nvGraphicFramePr>
          <xdr:cNvPr id="13" name="Chart 12">
            <a:extLst>
              <a:ext uri="{FF2B5EF4-FFF2-40B4-BE49-F238E27FC236}">
                <a16:creationId xmlns:a16="http://schemas.microsoft.com/office/drawing/2014/main" id="{D54BADBD-3114-4AF9-A431-ED1400B850E8}"/>
              </a:ext>
            </a:extLst>
          </xdr:cNvPr>
          <xdr:cNvGraphicFramePr>
            <a:graphicFrameLocks/>
          </xdr:cNvGraphicFramePr>
        </xdr:nvGraphicFramePr>
        <xdr:xfrm>
          <a:off x="6620642" y="1484391"/>
          <a:ext cx="777768" cy="623665"/>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oneCell">
    <xdr:from>
      <xdr:col>0</xdr:col>
      <xdr:colOff>535092</xdr:colOff>
      <xdr:row>7</xdr:row>
      <xdr:rowOff>88997</xdr:rowOff>
    </xdr:from>
    <xdr:to>
      <xdr:col>3</xdr:col>
      <xdr:colOff>543970</xdr:colOff>
      <xdr:row>12</xdr:row>
      <xdr:rowOff>84667</xdr:rowOff>
    </xdr:to>
    <mc:AlternateContent xmlns:mc="http://schemas.openxmlformats.org/markup-compatibility/2006" xmlns:a14="http://schemas.microsoft.com/office/drawing/2010/main">
      <mc:Choice Requires="a14">
        <xdr:graphicFrame macro="">
          <xdr:nvGraphicFramePr>
            <xdr:cNvPr id="27" name="Year">
              <a:extLst>
                <a:ext uri="{FF2B5EF4-FFF2-40B4-BE49-F238E27FC236}">
                  <a16:creationId xmlns:a16="http://schemas.microsoft.com/office/drawing/2014/main" id="{B5F54561-E8E2-4C03-AF7F-B842BAD48A5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35092" y="1382088"/>
              <a:ext cx="1833060" cy="919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523724</xdr:colOff>
      <xdr:row>19</xdr:row>
      <xdr:rowOff>113770</xdr:rowOff>
    </xdr:from>
    <xdr:to>
      <xdr:col>3</xdr:col>
      <xdr:colOff>543579</xdr:colOff>
      <xdr:row>27</xdr:row>
      <xdr:rowOff>98079</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D8EC1998-0927-48A5-84B2-3EC38313B4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3724" y="3623588"/>
              <a:ext cx="1844037" cy="1430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529231</xdr:colOff>
      <xdr:row>12</xdr:row>
      <xdr:rowOff>154167</xdr:rowOff>
    </xdr:from>
    <xdr:to>
      <xdr:col>3</xdr:col>
      <xdr:colOff>548735</xdr:colOff>
      <xdr:row>19</xdr:row>
      <xdr:rowOff>54820</xdr:rowOff>
    </xdr:to>
    <mc:AlternateContent xmlns:mc="http://schemas.openxmlformats.org/markup-compatibility/2006" xmlns:a14="http://schemas.microsoft.com/office/drawing/2010/main">
      <mc:Choice Requires="a14">
        <xdr:graphicFrame macro="">
          <xdr:nvGraphicFramePr>
            <xdr:cNvPr id="32" name="Segment">
              <a:extLst>
                <a:ext uri="{FF2B5EF4-FFF2-40B4-BE49-F238E27FC236}">
                  <a16:creationId xmlns:a16="http://schemas.microsoft.com/office/drawing/2014/main" id="{0CB19682-EE69-41EF-ADAA-0BAED5DB437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29231" y="2370894"/>
              <a:ext cx="1843686" cy="1193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348713</xdr:colOff>
      <xdr:row>5</xdr:row>
      <xdr:rowOff>2832</xdr:rowOff>
    </xdr:from>
    <xdr:to>
      <xdr:col>23</xdr:col>
      <xdr:colOff>238605</xdr:colOff>
      <xdr:row>7</xdr:row>
      <xdr:rowOff>25830</xdr:rowOff>
    </xdr:to>
    <xdr:grpSp>
      <xdr:nvGrpSpPr>
        <xdr:cNvPr id="28" name="Group 27">
          <a:extLst>
            <a:ext uri="{FF2B5EF4-FFF2-40B4-BE49-F238E27FC236}">
              <a16:creationId xmlns:a16="http://schemas.microsoft.com/office/drawing/2014/main" id="{D956D2B7-6243-1B44-193C-94C0A2C3934C}"/>
            </a:ext>
          </a:extLst>
        </xdr:cNvPr>
        <xdr:cNvGrpSpPr/>
      </xdr:nvGrpSpPr>
      <xdr:grpSpPr>
        <a:xfrm>
          <a:off x="1570931" y="908179"/>
          <a:ext cx="12723179" cy="385136"/>
          <a:chOff x="1565720" y="907364"/>
          <a:chExt cx="12668468" cy="384811"/>
        </a:xfrm>
      </xdr:grpSpPr>
      <xdr:sp macro="" textlink="">
        <xdr:nvSpPr>
          <xdr:cNvPr id="4" name="Rectangle 3">
            <a:extLst>
              <a:ext uri="{FF2B5EF4-FFF2-40B4-BE49-F238E27FC236}">
                <a16:creationId xmlns:a16="http://schemas.microsoft.com/office/drawing/2014/main" id="{C69D9716-EF66-45DE-BFC9-FF1D2715237F}"/>
              </a:ext>
            </a:extLst>
          </xdr:cNvPr>
          <xdr:cNvSpPr/>
        </xdr:nvSpPr>
        <xdr:spPr>
          <a:xfrm>
            <a:off x="1565720" y="910731"/>
            <a:ext cx="12668468" cy="381444"/>
          </a:xfrm>
          <a:prstGeom prst="rect">
            <a:avLst/>
          </a:prstGeom>
          <a:solidFill>
            <a:schemeClr val="tx1"/>
          </a:solidFill>
          <a:ln>
            <a:noFill/>
          </a:ln>
          <a:effectLst>
            <a:outerShdw blurRad="1524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37" name="Month">
                <a:extLst>
                  <a:ext uri="{FF2B5EF4-FFF2-40B4-BE49-F238E27FC236}">
                    <a16:creationId xmlns:a16="http://schemas.microsoft.com/office/drawing/2014/main" id="{4162AEB3-AB78-4BD1-926A-72AEC5640FF4}"/>
                  </a:ext>
                </a:extLst>
              </xdr:cNvPr>
              <xdr:cNvGraphicFramePr/>
            </xdr:nvGraphicFramePr>
            <xdr:xfrm>
              <a:off x="1577051" y="907364"/>
              <a:ext cx="5627300" cy="372899"/>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76157" y="926468"/>
                <a:ext cx="5623168" cy="380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14</xdr:col>
      <xdr:colOff>186385</xdr:colOff>
      <xdr:row>0</xdr:row>
      <xdr:rowOff>178651</xdr:rowOff>
    </xdr:from>
    <xdr:to>
      <xdr:col>15</xdr:col>
      <xdr:colOff>218341</xdr:colOff>
      <xdr:row>4</xdr:row>
      <xdr:rowOff>35435</xdr:rowOff>
    </xdr:to>
    <xdr:pic>
      <xdr:nvPicPr>
        <xdr:cNvPr id="36" name="Graphic 35" descr="Money with solid fill">
          <a:extLst>
            <a:ext uri="{FF2B5EF4-FFF2-40B4-BE49-F238E27FC236}">
              <a16:creationId xmlns:a16="http://schemas.microsoft.com/office/drawing/2014/main" id="{8391791C-FF98-B606-917C-D23AF312EB4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743010" y="178651"/>
          <a:ext cx="643144" cy="587034"/>
        </a:xfrm>
        <a:prstGeom prst="rect">
          <a:avLst/>
        </a:prstGeom>
      </xdr:spPr>
    </xdr:pic>
    <xdr:clientData/>
  </xdr:twoCellAnchor>
  <xdr:twoCellAnchor editAs="oneCell">
    <xdr:from>
      <xdr:col>9</xdr:col>
      <xdr:colOff>413932</xdr:colOff>
      <xdr:row>1</xdr:row>
      <xdr:rowOff>5570</xdr:rowOff>
    </xdr:from>
    <xdr:to>
      <xdr:col>10</xdr:col>
      <xdr:colOff>331705</xdr:colOff>
      <xdr:row>4</xdr:row>
      <xdr:rowOff>39688</xdr:rowOff>
    </xdr:to>
    <xdr:pic>
      <xdr:nvPicPr>
        <xdr:cNvPr id="39" name="Graphic 38" descr="Coins with solid fill">
          <a:extLst>
            <a:ext uri="{FF2B5EF4-FFF2-40B4-BE49-F238E27FC236}">
              <a16:creationId xmlns:a16="http://schemas.microsoft.com/office/drawing/2014/main" id="{FC63836F-0D0B-F312-7F34-E34955AD4CF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14620" y="188133"/>
          <a:ext cx="528960" cy="581805"/>
        </a:xfrm>
        <a:prstGeom prst="rect">
          <a:avLst/>
        </a:prstGeom>
      </xdr:spPr>
    </xdr:pic>
    <xdr:clientData/>
  </xdr:twoCellAnchor>
  <xdr:twoCellAnchor editAs="oneCell">
    <xdr:from>
      <xdr:col>18</xdr:col>
      <xdr:colOff>363279</xdr:colOff>
      <xdr:row>1</xdr:row>
      <xdr:rowOff>53162</xdr:rowOff>
    </xdr:from>
    <xdr:to>
      <xdr:col>19</xdr:col>
      <xdr:colOff>296825</xdr:colOff>
      <xdr:row>4</xdr:row>
      <xdr:rowOff>48733</xdr:rowOff>
    </xdr:to>
    <xdr:pic>
      <xdr:nvPicPr>
        <xdr:cNvPr id="44" name="Graphic 43" descr="Piggy Bank with solid fill">
          <a:extLst>
            <a:ext uri="{FF2B5EF4-FFF2-40B4-BE49-F238E27FC236}">
              <a16:creationId xmlns:a16="http://schemas.microsoft.com/office/drawing/2014/main" id="{3E481D42-E784-D6A2-2EB8-D3C6D8B0D30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367977" y="234802"/>
          <a:ext cx="544918" cy="540489"/>
        </a:xfrm>
        <a:prstGeom prst="rect">
          <a:avLst/>
        </a:prstGeom>
      </xdr:spPr>
    </xdr:pic>
    <xdr:clientData/>
  </xdr:twoCellAnchor>
  <xdr:twoCellAnchor>
    <xdr:from>
      <xdr:col>3</xdr:col>
      <xdr:colOff>592667</xdr:colOff>
      <xdr:row>7</xdr:row>
      <xdr:rowOff>91148</xdr:rowOff>
    </xdr:from>
    <xdr:to>
      <xdr:col>4</xdr:col>
      <xdr:colOff>347133</xdr:colOff>
      <xdr:row>29</xdr:row>
      <xdr:rowOff>54689</xdr:rowOff>
    </xdr:to>
    <xdr:sp macro="" textlink="">
      <xdr:nvSpPr>
        <xdr:cNvPr id="46" name="Rectangle 45">
          <a:extLst>
            <a:ext uri="{FF2B5EF4-FFF2-40B4-BE49-F238E27FC236}">
              <a16:creationId xmlns:a16="http://schemas.microsoft.com/office/drawing/2014/main" id="{486098A3-A8BD-1842-98E9-B9A3B24502B2}"/>
            </a:ext>
          </a:extLst>
        </xdr:cNvPr>
        <xdr:cNvSpPr/>
      </xdr:nvSpPr>
      <xdr:spPr>
        <a:xfrm>
          <a:off x="2419279" y="1367225"/>
          <a:ext cx="363337" cy="3974067"/>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655801157409" createdVersion="8" refreshedVersion="8" minRefreshableVersion="3" recordCount="1010" xr:uid="{57ED3645-79DC-4239-B885-23E9ABE74CBC}">
  <cacheSource type="worksheet">
    <worksheetSource ref="A1:S1011" sheet="Database"/>
  </cacheSource>
  <cacheFields count="19">
    <cacheField name="Order Date" numFmtId="0">
      <sharedItems containsDate="1" containsMixedTypes="1" minDate="2011-01-03T00:00:00" maxDate="2014-12-13T00:00:00" count="379">
        <d v="2013-09-11T00:00:00"/>
        <s v="13-06-2013"/>
        <d v="2012-11-10T00:00:00"/>
        <d v="2011-09-06T00:00:00"/>
        <s v="16-04-2014"/>
        <d v="2013-06-12T00:00:00"/>
        <s v="22-11-2012"/>
        <d v="2011-11-11T00:00:00"/>
        <s v="13-05-2011"/>
        <s v="27-08-2011"/>
        <d v="2013-10-12T00:00:00"/>
        <s v="17-07-2014"/>
        <s v="25-09-2012"/>
        <s v="16-01-2013"/>
        <s v="17-09-2012"/>
        <s v="20-10-2014"/>
        <d v="2013-09-12T00:00:00"/>
        <s v="27-12-2012"/>
        <d v="2014-11-09T00:00:00"/>
        <s v="18-07-2013"/>
        <s v="20-09-2014"/>
        <d v="2013-12-03T00:00:00"/>
        <s v="20-10-2011"/>
        <s v="21-06-2013"/>
        <s v="18-04-2012"/>
        <d v="2013-12-12T00:00:00"/>
        <s v="18-06-2013"/>
        <s v="24-11-2012"/>
        <s v="30-04-2012"/>
        <d v="2011-05-12T00:00:00"/>
        <d v="2013-05-06T00:00:00"/>
        <s v="19-09-2013"/>
        <s v="15-09-2014"/>
        <s v="26-04-2012"/>
        <d v="2014-10-12T00:00:00"/>
        <s v="26-11-2011"/>
        <d v="2011-12-10T00:00:00"/>
        <d v="2012-03-09T00:00:00"/>
        <s v="14-11-2014"/>
        <s v="29-05-2014"/>
        <s v="27-10-2014"/>
        <d v="2013-06-04T00:00:00"/>
        <s v="18-09-2013"/>
        <s v="31-01-2012"/>
        <d v="2014-07-11T00:00:00"/>
        <d v="2014-10-11T00:00:00"/>
        <s v="18-06-2014"/>
        <d v="2013-07-09T00:00:00"/>
        <s v="30-08-2013"/>
        <d v="2013-02-12T00:00:00"/>
        <s v="13-11-2012"/>
        <s v="24-11-2014"/>
        <s v="15-10-2012"/>
        <s v="26-12-2014"/>
        <d v="2013-04-11T00:00:00"/>
        <s v="25-08-2011"/>
        <d v="2012-02-03T00:00:00"/>
        <d v="2012-05-04T00:00:00"/>
        <s v="26-12-2011"/>
        <s v="20-09-2011"/>
        <d v="2014-06-11T00:00:00"/>
        <d v="2013-07-11T00:00:00"/>
        <d v="2014-03-02T00:00:00"/>
        <s v="14-10-2013"/>
        <d v="2013-06-09T00:00:00"/>
        <s v="19-09-2014"/>
        <s v="23-12-2014"/>
        <d v="2012-07-09T00:00:00"/>
        <s v="22-10-2011"/>
        <s v="14-03-2013"/>
        <s v="31-05-2012"/>
        <s v="28-05-2012"/>
        <d v="2011-01-03T00:00:00"/>
        <s v="21-11-2013"/>
        <d v="2013-12-05T00:00:00"/>
        <s v="28-12-2012"/>
        <s v="17-11-2013"/>
        <d v="2013-08-11T00:00:00"/>
        <d v="2011-08-09T00:00:00"/>
        <d v="2011-05-08T00:00:00"/>
        <s v="14-09-2011"/>
        <s v="22-04-2014"/>
        <s v="21-11-2012"/>
        <s v="15-12-2012"/>
        <s v="19-11-2011"/>
        <s v="29-11-2013"/>
        <s v="26-08-2011"/>
        <s v="17-07-2013"/>
        <d v="2012-12-10T00:00:00"/>
        <s v="31-10-2012"/>
        <s v="21-03-2011"/>
        <d v="2014-07-07T00:00:00"/>
        <s v="25-06-2014"/>
        <d v="2011-03-08T00:00:00"/>
        <s v="18-12-2014"/>
        <d v="2014-04-06T00:00:00"/>
        <d v="2014-02-12T00:00:00"/>
        <d v="2012-09-02T00:00:00"/>
        <d v="2012-02-01T00:00:00"/>
        <s v="29-10-2013"/>
        <s v="24-12-2012"/>
        <d v="2012-09-08T00:00:00"/>
        <s v="28-02-2012"/>
        <s v="13-09-2011"/>
        <d v="2014-08-04T00:00:00"/>
        <s v="13-11-2014"/>
        <d v="2011-01-06T00:00:00"/>
        <d v="2013-11-12T00:00:00"/>
        <d v="2013-12-09T00:00:00"/>
        <s v="28-11-2012"/>
        <d v="2014-09-06T00:00:00"/>
        <s v="19-09-2011"/>
        <d v="2013-07-06T00:00:00"/>
        <d v="2012-10-11T00:00:00"/>
        <s v="17-06-2014"/>
        <s v="22-01-2013"/>
        <s v="29-12-2014"/>
        <s v="30-07-2012"/>
        <s v="17-09-2014"/>
        <s v="14-10-2014"/>
        <s v="26-09-2012"/>
        <d v="2012-02-11T00:00:00"/>
        <s v="19-12-2013"/>
        <s v="20-11-2014"/>
        <d v="2012-04-05T00:00:00"/>
        <s v="30-12-2011"/>
        <s v="13-09-2013"/>
        <s v="27-09-2011"/>
        <d v="2011-09-08T00:00:00"/>
        <s v="28-12-2011"/>
        <d v="2011-04-11T00:00:00"/>
        <s v="24-04-2013"/>
        <d v="2014-04-11T00:00:00"/>
        <s v="31-08-2013"/>
        <s v="26-04-2013"/>
        <d v="2012-01-09T00:00:00"/>
        <d v="2011-12-07T00:00:00"/>
        <s v="22-06-2012"/>
        <s v="13-04-2011"/>
        <s v="20-12-2012"/>
        <s v="16-06-2014"/>
        <d v="2014-09-07T00:00:00"/>
        <d v="2013-02-09T00:00:00"/>
        <d v="2013-09-04T00:00:00"/>
        <d v="2014-09-03T00:00:00"/>
        <s v="26-09-2014"/>
        <s v="24-09-2011"/>
        <s v="22-10-2013"/>
        <s v="30-05-2014"/>
        <s v="23-07-2011"/>
        <s v="29-09-2013"/>
        <s v="28-08-2014"/>
        <s v="28-04-2012"/>
        <s v="26-06-2012"/>
        <s v="27-11-2012"/>
        <d v="2012-03-12T00:00:00"/>
        <s v="24-11-2011"/>
        <d v="2014-12-12T00:00:00"/>
        <s v="21-09-2011"/>
        <d v="2011-07-06T00:00:00"/>
        <d v="2014-01-07T00:00:00"/>
        <s v="18-10-2014"/>
        <d v="2013-09-09T00:00:00"/>
        <s v="24-12-2011"/>
        <s v="16-04-2011"/>
        <s v="25-12-2014"/>
        <d v="2014-09-12T00:00:00"/>
        <s v="15-04-2013"/>
        <d v="2014-05-03T00:00:00"/>
        <s v="22-06-2011"/>
        <s v="22-08-2014"/>
        <d v="2011-12-09T00:00:00"/>
        <d v="2014-02-10T00:00:00"/>
        <s v="16-04-2013"/>
        <s v="19-12-2011"/>
        <s v="16-09-2014"/>
        <s v="21-01-2014"/>
        <s v="21-03-2014"/>
        <d v="2013-02-04T00:00:00"/>
        <s v="21-10-2014"/>
        <s v="14-12-2013"/>
        <s v="13-02-2011"/>
        <s v="27-09-2013"/>
        <s v="23-04-2013"/>
        <s v="17-01-2012"/>
        <d v="2014-01-04T00:00:00"/>
        <s v="17-12-2013"/>
        <d v="2011-09-11T00:00:00"/>
        <s v="13-07-2013"/>
        <s v="28-10-2013"/>
        <s v="27-06-2013"/>
        <d v="2011-06-10T00:00:00"/>
        <s v="22-07-2011"/>
        <d v="2014-11-06T00:00:00"/>
        <s v="29-10-2011"/>
        <d v="2013-10-05T00:00:00"/>
        <s v="19-03-2013"/>
        <s v="26-07-2013"/>
        <s v="31-05-2013"/>
        <s v="16-03-2012"/>
        <s v="27-11-2014"/>
        <s v="21-10-2013"/>
        <s v="22-12-2014"/>
        <s v="23-01-2014"/>
        <s v="22-03-2012"/>
        <s v="24-01-2014"/>
        <s v="22-05-2013"/>
        <s v="26-12-2012"/>
        <s v="22-10-2014"/>
        <d v="2012-07-11T00:00:00"/>
        <d v="2014-08-09T00:00:00"/>
        <s v="30-05-2013"/>
        <d v="2013-11-07T00:00:00"/>
        <d v="2014-04-09T00:00:00"/>
        <d v="2012-07-12T00:00:00"/>
        <d v="2011-02-02T00:00:00"/>
        <s v="15-07-2013"/>
        <s v="18-12-2012"/>
        <d v="2011-11-05T00:00:00"/>
        <s v="15-11-2012"/>
        <d v="2014-12-09T00:00:00"/>
        <s v="25-11-2014"/>
        <s v="30-06-2014"/>
        <d v="2011-03-03T00:00:00"/>
        <d v="2013-11-06T00:00:00"/>
        <s v="21-11-2014"/>
        <d v="2014-08-12T00:00:00"/>
        <s v="18-09-2012"/>
        <s v="21-07-2014"/>
        <d v="2012-10-09T00:00:00"/>
        <d v="2012-03-07T00:00:00"/>
        <s v="21-03-2013"/>
        <d v="2011-10-01T00:00:00"/>
        <d v="2011-08-08T00:00:00"/>
        <s v="15-03-2011"/>
        <s v="23-05-2011"/>
        <s v="29-04-2013"/>
        <s v="15-11-2014"/>
        <s v="19-08-2014"/>
        <s v="29-11-2012"/>
        <s v="20-05-2014"/>
        <s v="25-09-2014"/>
        <d v="2012-04-10T00:00:00"/>
        <s v="16-08-2013"/>
        <s v="21-05-2013"/>
        <s v="31-07-2014"/>
        <s v="22-07-2014"/>
        <s v="31-12-2014"/>
        <s v="24-10-2013"/>
        <s v="20-06-2014"/>
        <s v="23-08-2013"/>
        <s v="20-09-2013"/>
        <s v="24-08-2012"/>
        <s v="27-03-2013"/>
        <d v="2013-05-11T00:00:00"/>
        <d v="2014-10-06T00:00:00"/>
        <d v="2014-06-12T00:00:00"/>
        <s v="19-03-2014"/>
        <s v="20-11-2013"/>
        <d v="2014-05-11T00:00:00"/>
        <d v="2011-05-07T00:00:00"/>
        <s v="21-06-2011"/>
        <s v="28-03-2012"/>
        <s v="14-05-2012"/>
        <d v="2014-03-09T00:00:00"/>
        <d v="2012-09-04T00:00:00"/>
        <d v="2011-02-12T00:00:00"/>
        <d v="2011-05-04T00:00:00"/>
        <d v="2011-01-07T00:00:00"/>
        <d v="2011-12-01T00:00:00"/>
        <d v="2011-02-06T00:00:00"/>
        <s v="13-02-2013"/>
        <s v="16-12-2013"/>
        <d v="2011-07-10T00:00:00"/>
        <d v="2013-08-07T00:00:00"/>
        <d v="2013-04-12T00:00:00"/>
        <s v="22-01-2014"/>
        <d v="2011-05-01T00:00:00"/>
        <s v="28-08-2013"/>
        <s v="27-05-2011"/>
        <d v="2014-03-10T00:00:00"/>
        <d v="2013-08-04T00:00:00"/>
        <s v="29-12-2011"/>
        <s v="24-07-2014"/>
        <s v="31-08-2012"/>
        <d v="2012-08-02T00:00:00"/>
        <s v="14-01-2011"/>
        <s v="14-05-2011"/>
        <s v="20-05-2013"/>
        <s v="31-01-2014"/>
        <s v="29-06-2011"/>
        <s v="21-08-2012"/>
        <d v="2012-03-10T00:00:00"/>
        <s v="23-05-2012"/>
        <s v="18-03-2014"/>
        <d v="2012-12-12T00:00:00"/>
        <s v="22-09-2014"/>
        <s v="21-02-2014"/>
        <s v="19-08-2013"/>
        <s v="13-03-2013"/>
        <s v="23-04-2014"/>
        <d v="2011-01-11T00:00:00"/>
        <d v="2012-03-02T00:00:00"/>
        <s v="13-10-2011"/>
        <s v="15-05-2014"/>
        <s v="20-03-2012"/>
        <s v="16-09-2013"/>
        <s v="28-06-2011"/>
        <s v="21-06-2014"/>
        <d v="2011-09-05T00:00:00"/>
        <s v="24-07-2013"/>
        <d v="2013-08-03T00:00:00"/>
        <s v="20-11-2012"/>
        <s v="13-10-2012"/>
        <d v="2014-02-01T00:00:00"/>
        <d v="2011-08-02T00:00:00"/>
        <s v="29-05-2013"/>
        <s v="19-02-2013"/>
        <d v="2014-11-04T00:00:00"/>
        <d v="2013-05-01T00:00:00"/>
        <d v="2011-11-01T00:00:00"/>
        <s v="30-09-2013"/>
        <d v="2011-06-04T00:00:00"/>
        <d v="2013-04-09T00:00:00"/>
        <s v="19-10-2012"/>
        <d v="2011-10-12T00:00:00"/>
        <s v="26-08-2014"/>
        <s v="17-01-2013"/>
        <s v="17-09-2011"/>
        <d v="2014-01-12T00:00:00"/>
        <d v="2012-09-10T00:00:00"/>
        <s v="24-12-2014"/>
        <s v="23-10-2013"/>
        <s v="29-04-2011"/>
        <s v="25-04-2012"/>
        <s v="27-06-2014"/>
        <s v="15-10-2014"/>
        <d v="2011-09-12T00:00:00"/>
        <d v="2013-11-11T00:00:00"/>
        <d v="2013-04-10T00:00:00"/>
        <d v="2011-09-09T00:00:00"/>
        <s v="30-10-2014"/>
        <d v="2013-11-04T00:00:00"/>
        <d v="2014-12-11T00:00:00"/>
        <s v="28-11-2014"/>
        <s v="15-06-2011"/>
        <d v="2013-06-03T00:00:00"/>
        <d v="2012-11-04T00:00:00"/>
        <d v="2012-05-10T00:00:00"/>
        <s v="15-04-2014"/>
        <s v="13-12-2012"/>
        <s v="20-06-2013"/>
        <s v="29-05-2012"/>
        <s v="26-07-2012"/>
        <s v="29-11-2014"/>
        <d v="2014-04-04T00:00:00"/>
        <s v="16-05-2014"/>
        <s v="22-09-2012"/>
        <s v="22-09-2011"/>
        <d v="2014-10-04T00:00:00"/>
        <s v="17-01-2011"/>
        <d v="2014-06-10T00:00:00"/>
        <d v="2014-10-07T00:00:00"/>
        <d v="2014-08-01T00:00:00"/>
        <d v="2012-09-12T00:00:00"/>
        <s v="30-09-2014"/>
        <d v="2012-10-03T00:00:00"/>
        <s v="22-05-2014"/>
        <s v="29-03-2012"/>
        <d v="2013-10-09T00:00:00"/>
        <s v="27-08-2013"/>
        <s v="21-05-2011"/>
        <s v="28-10-2012"/>
        <s v="14-11-2013"/>
        <s v="31-07-2012"/>
        <s v="27-08-2012"/>
        <d v="2012-06-11T00:00:00"/>
        <s v="27-12-2014"/>
        <d v="2014-02-08T00:00:00"/>
      </sharedItems>
    </cacheField>
    <cacheField name="Year" numFmtId="0">
      <sharedItems containsSemiMixedTypes="0" containsString="0" containsNumber="1" containsInteger="1" minValue="2011" maxValue="2014" count="4">
        <n v="2013"/>
        <n v="2012"/>
        <n v="2011"/>
        <n v="2014"/>
      </sharedItems>
    </cacheField>
    <cacheField name="Month" numFmtId="0">
      <sharedItems count="12">
        <s v="Nov"/>
        <s v="Jun"/>
        <s v="Oct"/>
        <s v="Apr"/>
        <s v="Dec"/>
        <s v="May"/>
        <s v="Aug"/>
        <s v="Jul"/>
        <s v="Sep"/>
        <s v="Jan"/>
        <s v="Mar"/>
        <s v="Feb"/>
      </sharedItems>
    </cacheField>
    <cacheField name="Ship Date" numFmtId="0">
      <sharedItems containsDate="1" containsMixedTypes="1" minDate="2011-01-09T00:00:00" maxDate="2015-06-02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1.08" maxValue="8159.95"/>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839.99" maxValue="3177.48"/>
    </cacheField>
  </cacheFields>
  <extLst>
    <ext xmlns:x14="http://schemas.microsoft.com/office/spreadsheetml/2009/9/main" uri="{725AE2AE-9491-48be-B2B4-4EB974FC3084}">
      <x14:pivotCacheDefinition pivotCacheId="7934977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0">
  <r>
    <x v="0"/>
    <x v="0"/>
    <x v="0"/>
    <d v="2013-12-11T00:00:00"/>
    <n v="3"/>
    <x v="0"/>
    <s v="Claire Gute"/>
    <x v="0"/>
    <s v="United States"/>
    <s v="Henderson"/>
    <s v="Kentucky"/>
    <x v="0"/>
    <x v="0"/>
    <x v="0"/>
    <s v="Bush Somerset Collection Bookcase"/>
    <n v="261.95999999999998"/>
    <n v="2"/>
    <n v="0"/>
    <n v="41.91"/>
  </r>
  <r>
    <x v="0"/>
    <x v="0"/>
    <x v="0"/>
    <d v="2013-12-11T00:00:00"/>
    <n v="3"/>
    <x v="0"/>
    <s v="Claire Gute"/>
    <x v="0"/>
    <s v="United States"/>
    <s v="Henderson"/>
    <s v="Kentucky"/>
    <x v="0"/>
    <x v="0"/>
    <x v="1"/>
    <s v="Hon Deluxe Fabric Upholstered Stacking Chairs, Rounded Back"/>
    <n v="731.94"/>
    <n v="3"/>
    <n v="0"/>
    <n v="219.58"/>
  </r>
  <r>
    <x v="1"/>
    <x v="0"/>
    <x v="1"/>
    <s v="17-06-2013"/>
    <n v="4"/>
    <x v="0"/>
    <s v="Darrin Van Huff"/>
    <x v="1"/>
    <s v="United States"/>
    <s v="Los Angeles"/>
    <s v="California"/>
    <x v="1"/>
    <x v="1"/>
    <x v="2"/>
    <s v="Self-Adhesive Address Labels for Typewriters by Universal"/>
    <n v="14.62"/>
    <n v="2"/>
    <n v="0"/>
    <n v="6.87"/>
  </r>
  <r>
    <x v="2"/>
    <x v="1"/>
    <x v="2"/>
    <s v="18-10-2012"/>
    <n v="7"/>
    <x v="1"/>
    <s v="Sean O'Donnell"/>
    <x v="0"/>
    <s v="United States"/>
    <s v="Fort Lauderdale"/>
    <s v="Florida"/>
    <x v="0"/>
    <x v="0"/>
    <x v="3"/>
    <s v="Bretford CR4500 Series Slim Rectangular Table"/>
    <n v="957.58"/>
    <n v="5"/>
    <n v="0.45"/>
    <n v="-383.03"/>
  </r>
  <r>
    <x v="2"/>
    <x v="1"/>
    <x v="2"/>
    <s v="18-10-2012"/>
    <n v="7"/>
    <x v="1"/>
    <s v="Sean O'Donnell"/>
    <x v="0"/>
    <s v="United States"/>
    <s v="Fort Lauderdale"/>
    <s v="Florida"/>
    <x v="0"/>
    <x v="1"/>
    <x v="4"/>
    <s v="Eldon Fold 'N Roll Cart System"/>
    <n v="22.37"/>
    <n v="2"/>
    <n v="0.2"/>
    <n v="2.52"/>
  </r>
  <r>
    <x v="3"/>
    <x v="2"/>
    <x v="1"/>
    <s v="14-06-2011"/>
    <n v="5"/>
    <x v="1"/>
    <s v="Brosina Hoffman"/>
    <x v="0"/>
    <s v="United States"/>
    <s v="Los Angeles"/>
    <s v="California"/>
    <x v="1"/>
    <x v="0"/>
    <x v="5"/>
    <s v="Eldon Expressions Wood and Plastic Desk Accessories, Cherry Wood"/>
    <n v="48.86"/>
    <n v="7"/>
    <n v="0"/>
    <n v="14.17"/>
  </r>
  <r>
    <x v="3"/>
    <x v="2"/>
    <x v="1"/>
    <s v="14-06-2011"/>
    <n v="5"/>
    <x v="1"/>
    <s v="Brosina Hoffman"/>
    <x v="0"/>
    <s v="United States"/>
    <s v="Los Angeles"/>
    <s v="California"/>
    <x v="1"/>
    <x v="1"/>
    <x v="6"/>
    <s v="Newell 322"/>
    <n v="7.28"/>
    <n v="4"/>
    <n v="0"/>
    <n v="1.97"/>
  </r>
  <r>
    <x v="3"/>
    <x v="2"/>
    <x v="1"/>
    <s v="14-06-2011"/>
    <n v="5"/>
    <x v="1"/>
    <s v="Brosina Hoffman"/>
    <x v="0"/>
    <s v="United States"/>
    <s v="Los Angeles"/>
    <s v="California"/>
    <x v="1"/>
    <x v="2"/>
    <x v="7"/>
    <s v="Mitel 5320 IP Phone VoIP phone"/>
    <n v="907.15"/>
    <n v="6"/>
    <n v="0.2"/>
    <n v="90.72"/>
  </r>
  <r>
    <x v="3"/>
    <x v="2"/>
    <x v="1"/>
    <s v="14-06-2011"/>
    <n v="5"/>
    <x v="1"/>
    <s v="Brosina Hoffman"/>
    <x v="0"/>
    <s v="United States"/>
    <s v="Los Angeles"/>
    <s v="California"/>
    <x v="1"/>
    <x v="1"/>
    <x v="8"/>
    <s v="DXL Angle-View Binders with Locking Rings by Samsill"/>
    <n v="18.5"/>
    <n v="3"/>
    <n v="0.2"/>
    <n v="5.78"/>
  </r>
  <r>
    <x v="3"/>
    <x v="2"/>
    <x v="1"/>
    <s v="14-06-2011"/>
    <n v="5"/>
    <x v="1"/>
    <s v="Brosina Hoffman"/>
    <x v="0"/>
    <s v="United States"/>
    <s v="Los Angeles"/>
    <s v="California"/>
    <x v="1"/>
    <x v="1"/>
    <x v="9"/>
    <s v="Belkin F5C206VTEL 6 Outlet Surge"/>
    <n v="114.9"/>
    <n v="5"/>
    <n v="0"/>
    <n v="34.47"/>
  </r>
  <r>
    <x v="3"/>
    <x v="2"/>
    <x v="1"/>
    <s v="14-06-2011"/>
    <n v="5"/>
    <x v="1"/>
    <s v="Brosina Hoffman"/>
    <x v="0"/>
    <s v="United States"/>
    <s v="Los Angeles"/>
    <s v="California"/>
    <x v="1"/>
    <x v="0"/>
    <x v="3"/>
    <s v="Chromcraft Rectangular Conference Tables"/>
    <n v="1706.18"/>
    <n v="9"/>
    <n v="0.2"/>
    <n v="85.31"/>
  </r>
  <r>
    <x v="3"/>
    <x v="2"/>
    <x v="1"/>
    <s v="14-06-2011"/>
    <n v="5"/>
    <x v="1"/>
    <s v="Brosina Hoffman"/>
    <x v="0"/>
    <s v="United States"/>
    <s v="Los Angeles"/>
    <s v="California"/>
    <x v="1"/>
    <x v="2"/>
    <x v="7"/>
    <s v="Konftel 250 Conference phone - Charcoal black"/>
    <n v="911.42"/>
    <n v="4"/>
    <n v="0.2"/>
    <n v="68.36"/>
  </r>
  <r>
    <x v="4"/>
    <x v="3"/>
    <x v="3"/>
    <s v="21-04-2014"/>
    <n v="5"/>
    <x v="1"/>
    <s v="Andrew Allen"/>
    <x v="0"/>
    <s v="United States"/>
    <s v="Concord"/>
    <s v="North Carolina"/>
    <x v="0"/>
    <x v="1"/>
    <x v="10"/>
    <s v="Xerox 1967"/>
    <n v="15.55"/>
    <n v="3"/>
    <n v="0.2"/>
    <n v="5.44"/>
  </r>
  <r>
    <x v="5"/>
    <x v="0"/>
    <x v="4"/>
    <d v="2013-11-12T00:00:00"/>
    <n v="5"/>
    <x v="1"/>
    <s v="Irene Maddox"/>
    <x v="0"/>
    <s v="United States"/>
    <s v="Seattle"/>
    <s v="Washington"/>
    <x v="1"/>
    <x v="1"/>
    <x v="8"/>
    <s v="Fellowes PB200 Plastic Comb Binding Machine"/>
    <n v="407.98"/>
    <n v="3"/>
    <n v="0.2"/>
    <n v="132.59"/>
  </r>
  <r>
    <x v="6"/>
    <x v="1"/>
    <x v="0"/>
    <s v="26-11-2012"/>
    <n v="4"/>
    <x v="1"/>
    <s v="Harold Pawlan"/>
    <x v="2"/>
    <s v="United States"/>
    <s v="Fort Worth"/>
    <s v="Texas"/>
    <x v="2"/>
    <x v="1"/>
    <x v="9"/>
    <s v="Holmes Replacement Filter for HEPA Air Cleaner, Very Large Room, HEPA Filter"/>
    <n v="68.81"/>
    <n v="5"/>
    <n v="0.8"/>
    <n v="-123.86"/>
  </r>
  <r>
    <x v="6"/>
    <x v="1"/>
    <x v="0"/>
    <s v="26-11-2012"/>
    <n v="4"/>
    <x v="1"/>
    <s v="Harold Pawlan"/>
    <x v="2"/>
    <s v="United States"/>
    <s v="Fort Worth"/>
    <s v="Texas"/>
    <x v="2"/>
    <x v="1"/>
    <x v="8"/>
    <s v="Storex DuraTech Recycled Plastic Frosted Binders"/>
    <n v="2.54"/>
    <n v="3"/>
    <n v="0.8"/>
    <n v="-3.82"/>
  </r>
  <r>
    <x v="7"/>
    <x v="2"/>
    <x v="0"/>
    <s v="18-11-2011"/>
    <n v="7"/>
    <x v="1"/>
    <s v="Pete Kriz"/>
    <x v="0"/>
    <s v="United States"/>
    <s v="Madison"/>
    <s v="Wisconsin"/>
    <x v="2"/>
    <x v="1"/>
    <x v="4"/>
    <s v="Stur-D-Stor Shelving, Vertical 5-Shelf: 72&quot;H x 36&quot;W x 18 1/2&quot;D"/>
    <n v="665.88"/>
    <n v="6"/>
    <n v="0"/>
    <n v="13.32"/>
  </r>
  <r>
    <x v="8"/>
    <x v="2"/>
    <x v="5"/>
    <s v="15-05-2011"/>
    <n v="2"/>
    <x v="0"/>
    <s v="Alejandro Grove"/>
    <x v="0"/>
    <s v="United States"/>
    <s v="West Jordan"/>
    <s v="Utah"/>
    <x v="1"/>
    <x v="1"/>
    <x v="4"/>
    <s v="Fellowes Super Stor/Drawer"/>
    <n v="55.5"/>
    <n v="2"/>
    <n v="0"/>
    <n v="9.99"/>
  </r>
  <r>
    <x v="9"/>
    <x v="2"/>
    <x v="6"/>
    <d v="2011-01-09T00:00:00"/>
    <n v="5"/>
    <x v="0"/>
    <s v="Zuschuss Donatelli"/>
    <x v="0"/>
    <s v="United States"/>
    <s v="San Francisco"/>
    <s v="California"/>
    <x v="1"/>
    <x v="1"/>
    <x v="6"/>
    <s v="Newell 341"/>
    <n v="8.56"/>
    <n v="2"/>
    <n v="0"/>
    <n v="2.48"/>
  </r>
  <r>
    <x v="9"/>
    <x v="2"/>
    <x v="6"/>
    <d v="2011-01-09T00:00:00"/>
    <n v="5"/>
    <x v="0"/>
    <s v="Zuschuss Donatelli"/>
    <x v="0"/>
    <s v="United States"/>
    <s v="San Francisco"/>
    <s v="California"/>
    <x v="1"/>
    <x v="2"/>
    <x v="7"/>
    <s v="Cisco SPA 501G IP Phone"/>
    <n v="213.48"/>
    <n v="3"/>
    <n v="0.2"/>
    <n v="16.010000000000002"/>
  </r>
  <r>
    <x v="9"/>
    <x v="2"/>
    <x v="6"/>
    <d v="2011-01-09T00:00:00"/>
    <n v="5"/>
    <x v="0"/>
    <s v="Zuschuss Donatelli"/>
    <x v="0"/>
    <s v="United States"/>
    <s v="San Francisco"/>
    <s v="California"/>
    <x v="1"/>
    <x v="1"/>
    <x v="8"/>
    <s v="Wilson Jones Hanging View Binder, White, 1&quot;"/>
    <n v="22.72"/>
    <n v="4"/>
    <n v="0.2"/>
    <n v="7.38"/>
  </r>
  <r>
    <x v="10"/>
    <x v="0"/>
    <x v="4"/>
    <s v="14-12-2013"/>
    <n v="4"/>
    <x v="1"/>
    <s v="Ken Black"/>
    <x v="1"/>
    <s v="United States"/>
    <s v="Fremont"/>
    <s v="Nebraska"/>
    <x v="2"/>
    <x v="1"/>
    <x v="6"/>
    <s v="Newell 318"/>
    <n v="19.46"/>
    <n v="7"/>
    <n v="0"/>
    <n v="5.0599999999999996"/>
  </r>
  <r>
    <x v="10"/>
    <x v="0"/>
    <x v="4"/>
    <s v="14-12-2013"/>
    <n v="4"/>
    <x v="1"/>
    <s v="Ken Black"/>
    <x v="1"/>
    <s v="United States"/>
    <s v="Fremont"/>
    <s v="Nebraska"/>
    <x v="2"/>
    <x v="1"/>
    <x v="9"/>
    <s v="Acco Six-Outlet Power Strip, 4' Cord Length"/>
    <n v="60.34"/>
    <n v="7"/>
    <n v="0"/>
    <n v="15.69"/>
  </r>
  <r>
    <x v="11"/>
    <x v="3"/>
    <x v="7"/>
    <s v="19-07-2014"/>
    <n v="2"/>
    <x v="0"/>
    <s v="Sandra Flanagan"/>
    <x v="0"/>
    <s v="United States"/>
    <s v="Philadelphia"/>
    <s v="Pennsylvania"/>
    <x v="3"/>
    <x v="0"/>
    <x v="1"/>
    <s v="Global Deluxe Stacking Chair, Gray"/>
    <n v="71.37"/>
    <n v="2"/>
    <n v="0.3"/>
    <n v="-1.02"/>
  </r>
  <r>
    <x v="12"/>
    <x v="1"/>
    <x v="8"/>
    <s v="30-09-2012"/>
    <n v="5"/>
    <x v="1"/>
    <s v="Emily Burns"/>
    <x v="0"/>
    <s v="United States"/>
    <s v="Orem"/>
    <s v="Utah"/>
    <x v="1"/>
    <x v="0"/>
    <x v="3"/>
    <s v="Bretford CR4500 Series Slim Rectangular Table"/>
    <n v="1044.6300000000001"/>
    <n v="3"/>
    <n v="0"/>
    <n v="240.26"/>
  </r>
  <r>
    <x v="13"/>
    <x v="0"/>
    <x v="9"/>
    <s v="20-01-2013"/>
    <n v="4"/>
    <x v="0"/>
    <s v="Eric Hoffmann"/>
    <x v="0"/>
    <s v="United States"/>
    <s v="Los Angeles"/>
    <s v="California"/>
    <x v="1"/>
    <x v="1"/>
    <x v="8"/>
    <s v="Wilson Jones Active Use Binders"/>
    <n v="11.65"/>
    <n v="2"/>
    <n v="0.2"/>
    <n v="4.22"/>
  </r>
  <r>
    <x v="13"/>
    <x v="0"/>
    <x v="9"/>
    <s v="20-01-2013"/>
    <n v="4"/>
    <x v="0"/>
    <s v="Eric Hoffmann"/>
    <x v="0"/>
    <s v="United States"/>
    <s v="Los Angeles"/>
    <s v="California"/>
    <x v="1"/>
    <x v="2"/>
    <x v="11"/>
    <s v="Imation 8GB Mini TravelDrive USB 2.0 Flash Drive"/>
    <n v="90.57"/>
    <n v="3"/>
    <n v="0"/>
    <n v="11.77"/>
  </r>
  <r>
    <x v="14"/>
    <x v="1"/>
    <x v="8"/>
    <s v="21-09-2012"/>
    <n v="4"/>
    <x v="1"/>
    <s v="Tracy Blumstein"/>
    <x v="0"/>
    <s v="United States"/>
    <s v="Philadelphia"/>
    <s v="Pennsylvania"/>
    <x v="3"/>
    <x v="0"/>
    <x v="0"/>
    <s v="Riverside Palais Royal Lawyers Bookcase, Royale Cherry Finish"/>
    <n v="3083.43"/>
    <n v="7"/>
    <n v="0.5"/>
    <n v="-1665.05"/>
  </r>
  <r>
    <x v="14"/>
    <x v="1"/>
    <x v="8"/>
    <s v="21-09-2012"/>
    <n v="4"/>
    <x v="1"/>
    <s v="Tracy Blumstein"/>
    <x v="0"/>
    <s v="United States"/>
    <s v="Philadelphia"/>
    <s v="Pennsylvania"/>
    <x v="3"/>
    <x v="1"/>
    <x v="8"/>
    <s v="Avery Recycled Flexi-View Covers for Binding Systems"/>
    <n v="9.6199999999999992"/>
    <n v="2"/>
    <n v="0.7"/>
    <n v="-7.05"/>
  </r>
  <r>
    <x v="14"/>
    <x v="1"/>
    <x v="8"/>
    <s v="21-09-2012"/>
    <n v="4"/>
    <x v="1"/>
    <s v="Tracy Blumstein"/>
    <x v="0"/>
    <s v="United States"/>
    <s v="Philadelphia"/>
    <s v="Pennsylvania"/>
    <x v="3"/>
    <x v="0"/>
    <x v="5"/>
    <s v="Howard Miller 13-3/4&quot; Diameter Brushed Chrome Round Wall Clock"/>
    <n v="124.2"/>
    <n v="3"/>
    <n v="0.2"/>
    <n v="15.53"/>
  </r>
  <r>
    <x v="14"/>
    <x v="1"/>
    <x v="8"/>
    <s v="21-09-2012"/>
    <n v="4"/>
    <x v="1"/>
    <s v="Tracy Blumstein"/>
    <x v="0"/>
    <s v="United States"/>
    <s v="Philadelphia"/>
    <s v="Pennsylvania"/>
    <x v="3"/>
    <x v="1"/>
    <x v="12"/>
    <s v="Poly String Tie Envelopes"/>
    <n v="3.26"/>
    <n v="2"/>
    <n v="0.2"/>
    <n v="1.1000000000000001"/>
  </r>
  <r>
    <x v="14"/>
    <x v="1"/>
    <x v="8"/>
    <s v="21-09-2012"/>
    <n v="4"/>
    <x v="1"/>
    <s v="Tracy Blumstein"/>
    <x v="0"/>
    <s v="United States"/>
    <s v="Philadelphia"/>
    <s v="Pennsylvania"/>
    <x v="3"/>
    <x v="1"/>
    <x v="6"/>
    <s v="BOSTON Model 1800 Electric Pencil Sharpeners, Putty/Woodgrain"/>
    <n v="86.3"/>
    <n v="6"/>
    <n v="0.2"/>
    <n v="9.7100000000000009"/>
  </r>
  <r>
    <x v="14"/>
    <x v="1"/>
    <x v="8"/>
    <s v="21-09-2012"/>
    <n v="4"/>
    <x v="1"/>
    <s v="Tracy Blumstein"/>
    <x v="0"/>
    <s v="United States"/>
    <s v="Philadelphia"/>
    <s v="Pennsylvania"/>
    <x v="3"/>
    <x v="1"/>
    <x v="8"/>
    <s v="Acco Pressboard Covers with Storage Hooks, 14 7/8&quot; x 11&quot;, Executive Red"/>
    <n v="6.86"/>
    <n v="6"/>
    <n v="0.7"/>
    <n v="-5.72"/>
  </r>
  <r>
    <x v="14"/>
    <x v="1"/>
    <x v="8"/>
    <s v="21-09-2012"/>
    <n v="4"/>
    <x v="1"/>
    <s v="Tracy Blumstein"/>
    <x v="0"/>
    <s v="United States"/>
    <s v="Philadelphia"/>
    <s v="Pennsylvania"/>
    <x v="3"/>
    <x v="1"/>
    <x v="6"/>
    <s v="Lumber Crayons"/>
    <n v="15.76"/>
    <n v="2"/>
    <n v="0.2"/>
    <n v="3.55"/>
  </r>
  <r>
    <x v="15"/>
    <x v="3"/>
    <x v="2"/>
    <s v="24-10-2014"/>
    <n v="4"/>
    <x v="0"/>
    <s v="Matt Abelman"/>
    <x v="2"/>
    <s v="United States"/>
    <s v="Houston"/>
    <s v="Texas"/>
    <x v="2"/>
    <x v="1"/>
    <x v="10"/>
    <s v="Staples"/>
    <n v="29.47"/>
    <n v="3"/>
    <n v="0.2"/>
    <n v="9.9499999999999993"/>
  </r>
  <r>
    <x v="16"/>
    <x v="0"/>
    <x v="4"/>
    <d v="2013-11-12T00:00:00"/>
    <n v="2"/>
    <x v="2"/>
    <s v="Gene Hale"/>
    <x v="1"/>
    <s v="United States"/>
    <s v="Richardson"/>
    <s v="Texas"/>
    <x v="2"/>
    <x v="2"/>
    <x v="7"/>
    <s v="GE 30524EE4"/>
    <n v="1097.54"/>
    <n v="7"/>
    <n v="0.2"/>
    <n v="123.47"/>
  </r>
  <r>
    <x v="16"/>
    <x v="0"/>
    <x v="4"/>
    <d v="2013-11-12T00:00:00"/>
    <n v="2"/>
    <x v="2"/>
    <s v="Gene Hale"/>
    <x v="1"/>
    <s v="United States"/>
    <s v="Richardson"/>
    <s v="Texas"/>
    <x v="2"/>
    <x v="0"/>
    <x v="5"/>
    <s v="Electrix Architect's Clamp-On Swing Arm Lamp, Black"/>
    <n v="190.92"/>
    <n v="5"/>
    <n v="0.6"/>
    <n v="-147.96"/>
  </r>
  <r>
    <x v="17"/>
    <x v="1"/>
    <x v="4"/>
    <s v="31-12-2012"/>
    <n v="4"/>
    <x v="1"/>
    <s v="Steve Nguyen"/>
    <x v="2"/>
    <s v="United States"/>
    <s v="Houston"/>
    <s v="Texas"/>
    <x v="2"/>
    <x v="1"/>
    <x v="12"/>
    <s v="#10-4 1/8&quot; x 9 1/2&quot; Premium Diagonal Seam Envelopes"/>
    <n v="113.33"/>
    <n v="9"/>
    <n v="0.2"/>
    <n v="35.42"/>
  </r>
  <r>
    <x v="17"/>
    <x v="1"/>
    <x v="4"/>
    <s v="31-12-2012"/>
    <n v="4"/>
    <x v="1"/>
    <s v="Steve Nguyen"/>
    <x v="2"/>
    <s v="United States"/>
    <s v="Houston"/>
    <s v="Texas"/>
    <x v="2"/>
    <x v="0"/>
    <x v="0"/>
    <s v="Atlantic Metals Mobile 3-Shelf Bookcases, Custom Colors"/>
    <n v="532.4"/>
    <n v="3"/>
    <n v="0.32"/>
    <n v="-46.98"/>
  </r>
  <r>
    <x v="17"/>
    <x v="1"/>
    <x v="4"/>
    <s v="31-12-2012"/>
    <n v="4"/>
    <x v="1"/>
    <s v="Steve Nguyen"/>
    <x v="2"/>
    <s v="United States"/>
    <s v="Houston"/>
    <s v="Texas"/>
    <x v="2"/>
    <x v="0"/>
    <x v="1"/>
    <s v="Global Fabric Manager's Chair, Dark Gray"/>
    <n v="212.06"/>
    <n v="3"/>
    <n v="0.3"/>
    <n v="-15.15"/>
  </r>
  <r>
    <x v="17"/>
    <x v="1"/>
    <x v="4"/>
    <s v="31-12-2012"/>
    <n v="4"/>
    <x v="1"/>
    <s v="Steve Nguyen"/>
    <x v="2"/>
    <s v="United States"/>
    <s v="Houston"/>
    <s v="Texas"/>
    <x v="2"/>
    <x v="2"/>
    <x v="7"/>
    <s v="Plantronics HL10 Handset Lifter"/>
    <n v="371.17"/>
    <n v="4"/>
    <n v="0.2"/>
    <n v="41.76"/>
  </r>
  <r>
    <x v="18"/>
    <x v="3"/>
    <x v="8"/>
    <s v="16-09-2014"/>
    <n v="5"/>
    <x v="1"/>
    <s v="Linda Cazamias"/>
    <x v="1"/>
    <s v="United States"/>
    <s v="Naperville"/>
    <s v="Illinois"/>
    <x v="2"/>
    <x v="2"/>
    <x v="7"/>
    <s v="Panasonic Kx-TS550"/>
    <n v="147.16999999999999"/>
    <n v="4"/>
    <n v="0.2"/>
    <n v="16.559999999999999"/>
  </r>
  <r>
    <x v="19"/>
    <x v="0"/>
    <x v="7"/>
    <s v="23-07-2013"/>
    <n v="5"/>
    <x v="1"/>
    <s v="Ruben Ausman"/>
    <x v="1"/>
    <s v="United States"/>
    <s v="Los Angeles"/>
    <s v="California"/>
    <x v="1"/>
    <x v="1"/>
    <x v="4"/>
    <s v="Eldon Base for stackable storage shelf, platinum"/>
    <n v="77.88"/>
    <n v="2"/>
    <n v="0"/>
    <n v="3.89"/>
  </r>
  <r>
    <x v="20"/>
    <x v="3"/>
    <x v="8"/>
    <s v="24-09-2014"/>
    <n v="4"/>
    <x v="1"/>
    <s v="Erin Smith"/>
    <x v="1"/>
    <s v="United States"/>
    <s v="Melbourne"/>
    <s v="Florida"/>
    <x v="0"/>
    <x v="1"/>
    <x v="4"/>
    <s v="Advantus 10-Drawer Portable Organizer, Chrome Metal Frame, Smoke Drawers"/>
    <n v="95.62"/>
    <n v="2"/>
    <n v="0.2"/>
    <n v="9.56"/>
  </r>
  <r>
    <x v="21"/>
    <x v="0"/>
    <x v="10"/>
    <s v="14-03-2013"/>
    <n v="2"/>
    <x v="2"/>
    <s v="Odella Nelson"/>
    <x v="1"/>
    <s v="United States"/>
    <s v="Eagan"/>
    <s v="Minnesota"/>
    <x v="2"/>
    <x v="2"/>
    <x v="11"/>
    <s v="Verbatim 25 GB 6x Blu-ray Single Layer Recordable Disc, 25/Pack"/>
    <n v="45.98"/>
    <n v="2"/>
    <n v="0"/>
    <n v="19.77"/>
  </r>
  <r>
    <x v="21"/>
    <x v="0"/>
    <x v="10"/>
    <s v="14-03-2013"/>
    <n v="2"/>
    <x v="2"/>
    <s v="Odella Nelson"/>
    <x v="1"/>
    <s v="United States"/>
    <s v="Eagan"/>
    <s v="Minnesota"/>
    <x v="2"/>
    <x v="1"/>
    <x v="8"/>
    <s v="Wilson Jones Leather-Like Binders with DublLock Round Rings"/>
    <n v="17.46"/>
    <n v="2"/>
    <n v="0"/>
    <n v="8.2100000000000009"/>
  </r>
  <r>
    <x v="22"/>
    <x v="2"/>
    <x v="2"/>
    <s v="25-10-2011"/>
    <n v="5"/>
    <x v="0"/>
    <s v="Patrick O'Donnell"/>
    <x v="0"/>
    <s v="United States"/>
    <s v="Westland"/>
    <s v="Michigan"/>
    <x v="2"/>
    <x v="1"/>
    <x v="4"/>
    <s v="Gould Plastics 9-Pocket Panel Bin, 18-3/8w x 5-1/4d x 20-1/2h, Black"/>
    <n v="211.96"/>
    <n v="4"/>
    <n v="0"/>
    <n v="8.48"/>
  </r>
  <r>
    <x v="23"/>
    <x v="0"/>
    <x v="1"/>
    <s v="26-06-2013"/>
    <n v="5"/>
    <x v="1"/>
    <s v="Lena Hernandez"/>
    <x v="0"/>
    <s v="United States"/>
    <s v="Dover"/>
    <s v="Delaware"/>
    <x v="3"/>
    <x v="2"/>
    <x v="11"/>
    <s v="Imation 8gb Micro Traveldrive Usb 2.0 Flash Drive"/>
    <n v="45"/>
    <n v="3"/>
    <n v="0"/>
    <n v="4.95"/>
  </r>
  <r>
    <x v="23"/>
    <x v="0"/>
    <x v="1"/>
    <s v="26-06-2013"/>
    <n v="5"/>
    <x v="1"/>
    <s v="Lena Hernandez"/>
    <x v="0"/>
    <s v="United States"/>
    <s v="Dover"/>
    <s v="Delaware"/>
    <x v="3"/>
    <x v="2"/>
    <x v="7"/>
    <s v="LF Elite 3D Dazzle Designer Hard Case Cover, Lf Stylus Pen and Wiper For Apple Iphone 5c Mini Lite"/>
    <n v="21.8"/>
    <n v="2"/>
    <n v="0"/>
    <n v="6.1"/>
  </r>
  <r>
    <x v="24"/>
    <x v="1"/>
    <x v="3"/>
    <s v="22-04-2012"/>
    <n v="4"/>
    <x v="1"/>
    <s v="Darren Powers"/>
    <x v="0"/>
    <s v="United States"/>
    <s v="New Albany"/>
    <s v="Indiana"/>
    <x v="2"/>
    <x v="1"/>
    <x v="8"/>
    <s v="C-Line Peel &amp; Stick Add-On Filing Pockets, 8-3/4 x 5-1/8, 10/Pack"/>
    <n v="38.22"/>
    <n v="6"/>
    <n v="0"/>
    <n v="17.96"/>
  </r>
  <r>
    <x v="24"/>
    <x v="1"/>
    <x v="3"/>
    <s v="22-04-2012"/>
    <n v="4"/>
    <x v="1"/>
    <s v="Darren Powers"/>
    <x v="0"/>
    <s v="United States"/>
    <s v="New Albany"/>
    <s v="Indiana"/>
    <x v="2"/>
    <x v="1"/>
    <x v="2"/>
    <s v="Avery 485"/>
    <n v="75.180000000000007"/>
    <n v="6"/>
    <n v="0"/>
    <n v="35.33"/>
  </r>
  <r>
    <x v="24"/>
    <x v="1"/>
    <x v="3"/>
    <s v="22-04-2012"/>
    <n v="4"/>
    <x v="1"/>
    <s v="Darren Powers"/>
    <x v="0"/>
    <s v="United States"/>
    <s v="New Albany"/>
    <s v="Indiana"/>
    <x v="2"/>
    <x v="0"/>
    <x v="5"/>
    <s v="Longer-Life Soft White Bulbs"/>
    <n v="6.16"/>
    <n v="2"/>
    <n v="0"/>
    <n v="2.96"/>
  </r>
  <r>
    <x v="24"/>
    <x v="1"/>
    <x v="3"/>
    <s v="22-04-2012"/>
    <n v="4"/>
    <x v="1"/>
    <s v="Darren Powers"/>
    <x v="0"/>
    <s v="United States"/>
    <s v="New Albany"/>
    <s v="Indiana"/>
    <x v="2"/>
    <x v="0"/>
    <x v="1"/>
    <s v="Global Leather Task Chair, Black"/>
    <n v="89.99"/>
    <n v="1"/>
    <n v="0"/>
    <n v="17.100000000000001"/>
  </r>
  <r>
    <x v="25"/>
    <x v="0"/>
    <x v="4"/>
    <s v="18-12-2013"/>
    <n v="6"/>
    <x v="1"/>
    <s v="Janet Molinari"/>
    <x v="1"/>
    <s v="United States"/>
    <s v="New York City"/>
    <s v="New York"/>
    <x v="3"/>
    <x v="1"/>
    <x v="13"/>
    <s v="Advantus Push Pins"/>
    <n v="15.26"/>
    <n v="7"/>
    <n v="0"/>
    <n v="6.26"/>
  </r>
  <r>
    <x v="25"/>
    <x v="0"/>
    <x v="4"/>
    <s v="18-12-2013"/>
    <n v="6"/>
    <x v="1"/>
    <s v="Janet Molinari"/>
    <x v="1"/>
    <s v="United States"/>
    <s v="New York City"/>
    <s v="New York"/>
    <x v="3"/>
    <x v="2"/>
    <x v="7"/>
    <s v="AT&amp;T CL83451 4-Handset Telephone"/>
    <n v="1029.95"/>
    <n v="5"/>
    <n v="0"/>
    <n v="298.69"/>
  </r>
  <r>
    <x v="26"/>
    <x v="0"/>
    <x v="1"/>
    <s v="19-06-2013"/>
    <n v="1"/>
    <x v="2"/>
    <s v="Ted Butterfield"/>
    <x v="0"/>
    <s v="United States"/>
    <s v="Troy"/>
    <s v="New York"/>
    <x v="3"/>
    <x v="1"/>
    <x v="4"/>
    <s v="Home/Office Personal File Carts"/>
    <n v="208.56"/>
    <n v="6"/>
    <n v="0"/>
    <n v="52.14"/>
  </r>
  <r>
    <x v="26"/>
    <x v="0"/>
    <x v="1"/>
    <s v="19-06-2013"/>
    <n v="1"/>
    <x v="2"/>
    <s v="Ted Butterfield"/>
    <x v="0"/>
    <s v="United States"/>
    <s v="Troy"/>
    <s v="New York"/>
    <x v="3"/>
    <x v="1"/>
    <x v="10"/>
    <s v="Xerox 232"/>
    <n v="32.4"/>
    <n v="5"/>
    <n v="0"/>
    <n v="15.55"/>
  </r>
  <r>
    <x v="26"/>
    <x v="0"/>
    <x v="1"/>
    <s v="19-06-2013"/>
    <n v="1"/>
    <x v="2"/>
    <s v="Ted Butterfield"/>
    <x v="0"/>
    <s v="United States"/>
    <s v="Troy"/>
    <s v="New York"/>
    <x v="3"/>
    <x v="0"/>
    <x v="1"/>
    <s v="Novimex Turbo Task Chair"/>
    <n v="319.41000000000003"/>
    <n v="5"/>
    <n v="0.1"/>
    <n v="7.1"/>
  </r>
  <r>
    <x v="26"/>
    <x v="0"/>
    <x v="1"/>
    <s v="19-06-2013"/>
    <n v="1"/>
    <x v="2"/>
    <s v="Ted Butterfield"/>
    <x v="0"/>
    <s v="United States"/>
    <s v="Troy"/>
    <s v="New York"/>
    <x v="3"/>
    <x v="1"/>
    <x v="10"/>
    <s v="Array Parchment Paper, Assorted Colors"/>
    <n v="14.56"/>
    <n v="2"/>
    <n v="0"/>
    <n v="6.99"/>
  </r>
  <r>
    <x v="26"/>
    <x v="0"/>
    <x v="1"/>
    <s v="19-06-2013"/>
    <n v="1"/>
    <x v="2"/>
    <s v="Ted Butterfield"/>
    <x v="0"/>
    <s v="United States"/>
    <s v="Troy"/>
    <s v="New York"/>
    <x v="3"/>
    <x v="2"/>
    <x v="11"/>
    <s v="Imation 8gb Micro Traveldrive Usb 2.0 Flash Drive"/>
    <n v="30"/>
    <n v="2"/>
    <n v="0"/>
    <n v="3.3"/>
  </r>
  <r>
    <x v="26"/>
    <x v="0"/>
    <x v="1"/>
    <s v="19-06-2013"/>
    <n v="1"/>
    <x v="2"/>
    <s v="Ted Butterfield"/>
    <x v="0"/>
    <s v="United States"/>
    <s v="Troy"/>
    <s v="New York"/>
    <x v="3"/>
    <x v="1"/>
    <x v="8"/>
    <s v="Plastic Binding Combs"/>
    <n v="48.48"/>
    <n v="4"/>
    <n v="0.2"/>
    <n v="16.36"/>
  </r>
  <r>
    <x v="26"/>
    <x v="0"/>
    <x v="1"/>
    <s v="19-06-2013"/>
    <n v="1"/>
    <x v="2"/>
    <s v="Ted Butterfield"/>
    <x v="0"/>
    <s v="United States"/>
    <s v="Troy"/>
    <s v="New York"/>
    <x v="3"/>
    <x v="1"/>
    <x v="6"/>
    <s v="Prang Dustless Chalk Sticks"/>
    <n v="1.68"/>
    <n v="1"/>
    <n v="0"/>
    <n v="0.84"/>
  </r>
  <r>
    <x v="27"/>
    <x v="1"/>
    <x v="0"/>
    <s v="30-11-2012"/>
    <n v="6"/>
    <x v="1"/>
    <s v="Kunst Miller"/>
    <x v="0"/>
    <s v="United States"/>
    <s v="Los Angeles"/>
    <s v="California"/>
    <x v="1"/>
    <x v="2"/>
    <x v="11"/>
    <s v="Verbatim 25 GB 6x Blu-ray Single Layer Recordable Disc, 3/Pack"/>
    <n v="13.98"/>
    <n v="2"/>
    <n v="0"/>
    <n v="6.15"/>
  </r>
  <r>
    <x v="27"/>
    <x v="1"/>
    <x v="0"/>
    <s v="30-11-2012"/>
    <n v="6"/>
    <x v="1"/>
    <s v="Kunst Miller"/>
    <x v="0"/>
    <s v="United States"/>
    <s v="Los Angeles"/>
    <s v="California"/>
    <x v="1"/>
    <x v="1"/>
    <x v="8"/>
    <s v="Acco PRESSTEX Data Binder with Storage Hooks, Dark Blue, 14 7/8&quot; X 11&quot;"/>
    <n v="25.82"/>
    <n v="6"/>
    <n v="0.2"/>
    <n v="9.36"/>
  </r>
  <r>
    <x v="27"/>
    <x v="1"/>
    <x v="0"/>
    <s v="30-11-2012"/>
    <n v="6"/>
    <x v="1"/>
    <s v="Kunst Miller"/>
    <x v="0"/>
    <s v="United States"/>
    <s v="Los Angeles"/>
    <s v="California"/>
    <x v="1"/>
    <x v="1"/>
    <x v="10"/>
    <s v="Xerox 1943"/>
    <n v="146.72999999999999"/>
    <n v="3"/>
    <n v="0"/>
    <n v="68.959999999999994"/>
  </r>
  <r>
    <x v="27"/>
    <x v="1"/>
    <x v="0"/>
    <s v="30-11-2012"/>
    <n v="6"/>
    <x v="1"/>
    <s v="Kunst Miller"/>
    <x v="0"/>
    <s v="United States"/>
    <s v="Los Angeles"/>
    <s v="California"/>
    <x v="1"/>
    <x v="0"/>
    <x v="5"/>
    <s v="Luxo Economy Swing Arm Lamp"/>
    <n v="79.760000000000005"/>
    <n v="4"/>
    <n v="0"/>
    <n v="22.33"/>
  </r>
  <r>
    <x v="28"/>
    <x v="1"/>
    <x v="3"/>
    <d v="2012-05-05T00:00:00"/>
    <n v="5"/>
    <x v="1"/>
    <s v="Paul Stevenson"/>
    <x v="2"/>
    <s v="United States"/>
    <s v="Chicago"/>
    <s v="Illinois"/>
    <x v="2"/>
    <x v="0"/>
    <x v="1"/>
    <s v="Global Value Mid-Back Manager's Chair, Gray"/>
    <n v="213.12"/>
    <n v="5"/>
    <n v="0.3"/>
    <n v="-15.22"/>
  </r>
  <r>
    <x v="29"/>
    <x v="2"/>
    <x v="4"/>
    <d v="2011-10-12T00:00:00"/>
    <n v="5"/>
    <x v="1"/>
    <s v="Brendan Sweed"/>
    <x v="1"/>
    <s v="United States"/>
    <s v="Gilbert"/>
    <s v="Arizona"/>
    <x v="1"/>
    <x v="1"/>
    <x v="6"/>
    <s v="Hunt BOSTON Model 1606 High-Volume Electric Pencil Sharpener, Beige"/>
    <n v="1113.02"/>
    <n v="8"/>
    <n v="0.2"/>
    <n v="111.3"/>
  </r>
  <r>
    <x v="29"/>
    <x v="2"/>
    <x v="4"/>
    <d v="2011-10-12T00:00:00"/>
    <n v="5"/>
    <x v="1"/>
    <s v="Brendan Sweed"/>
    <x v="1"/>
    <s v="United States"/>
    <s v="Gilbert"/>
    <s v="Arizona"/>
    <x v="1"/>
    <x v="2"/>
    <x v="7"/>
    <s v="netTALK DUO VoIP Telephone Service"/>
    <n v="167.97"/>
    <n v="4"/>
    <n v="0.2"/>
    <n v="62.99"/>
  </r>
  <r>
    <x v="30"/>
    <x v="0"/>
    <x v="1"/>
    <d v="2013-07-06T00:00:00"/>
    <n v="2"/>
    <x v="2"/>
    <s v="Karen Daniels"/>
    <x v="0"/>
    <s v="United States"/>
    <s v="Springfield"/>
    <s v="Virginia"/>
    <x v="0"/>
    <x v="1"/>
    <x v="10"/>
    <s v="Snap-A-Way Black Print Carbonless Ruled Speed Letter, Triplicate"/>
    <n v="75.88"/>
    <n v="2"/>
    <n v="0"/>
    <n v="35.659999999999997"/>
  </r>
  <r>
    <x v="31"/>
    <x v="0"/>
    <x v="8"/>
    <s v="24-09-2013"/>
    <n v="5"/>
    <x v="1"/>
    <s v="Henry MacAllister"/>
    <x v="0"/>
    <s v="United States"/>
    <s v="New York City"/>
    <s v="New York"/>
    <x v="3"/>
    <x v="1"/>
    <x v="8"/>
    <s v="Avery Binding System Hidden Tab Executive Style Index Sets"/>
    <n v="4.62"/>
    <n v="1"/>
    <n v="0.2"/>
    <n v="1.73"/>
  </r>
  <r>
    <x v="32"/>
    <x v="3"/>
    <x v="8"/>
    <s v="18-09-2014"/>
    <n v="3"/>
    <x v="0"/>
    <s v="Tracy Blumstein"/>
    <x v="0"/>
    <s v="United States"/>
    <s v="Jackson"/>
    <s v="Michigan"/>
    <x v="2"/>
    <x v="1"/>
    <x v="10"/>
    <s v="Telephone Message Books with Fax/Mobile Section, 5 1/2&quot; x 3 3/16&quot;"/>
    <n v="19.05"/>
    <n v="3"/>
    <n v="0"/>
    <n v="8.76"/>
  </r>
  <r>
    <x v="33"/>
    <x v="1"/>
    <x v="3"/>
    <d v="2012-02-05T00:00:00"/>
    <n v="6"/>
    <x v="1"/>
    <s v="Joel Eaton"/>
    <x v="0"/>
    <s v="United States"/>
    <s v="Memphis"/>
    <s v="Tennessee"/>
    <x v="0"/>
    <x v="0"/>
    <x v="1"/>
    <s v="High-Back Leather Manager's Chair"/>
    <n v="831.94"/>
    <n v="8"/>
    <n v="0.2"/>
    <n v="-114.39"/>
  </r>
  <r>
    <x v="33"/>
    <x v="1"/>
    <x v="3"/>
    <d v="2012-02-05T00:00:00"/>
    <n v="6"/>
    <x v="1"/>
    <s v="Joel Eaton"/>
    <x v="0"/>
    <s v="United States"/>
    <s v="Memphis"/>
    <s v="Tennessee"/>
    <x v="0"/>
    <x v="0"/>
    <x v="5"/>
    <s v="Tenex Traditional Chairmats for Medium Pile Carpet, Standard Lip, 36&quot; x 48&quot;"/>
    <n v="97.04"/>
    <n v="2"/>
    <n v="0.2"/>
    <n v="1.21"/>
  </r>
  <r>
    <x v="33"/>
    <x v="1"/>
    <x v="3"/>
    <d v="2012-02-05T00:00:00"/>
    <n v="6"/>
    <x v="1"/>
    <s v="Joel Eaton"/>
    <x v="0"/>
    <s v="United States"/>
    <s v="Memphis"/>
    <s v="Tennessee"/>
    <x v="0"/>
    <x v="1"/>
    <x v="4"/>
    <s v="Safco Industrial Wire Shelving System"/>
    <n v="72.78"/>
    <n v="1"/>
    <n v="0.2"/>
    <n v="-18.2"/>
  </r>
  <r>
    <x v="34"/>
    <x v="3"/>
    <x v="4"/>
    <d v="2014-12-12T00:00:00"/>
    <n v="2"/>
    <x v="2"/>
    <s v="Ken Brennan"/>
    <x v="1"/>
    <s v="United States"/>
    <s v="Houston"/>
    <s v="Texas"/>
    <x v="2"/>
    <x v="1"/>
    <x v="8"/>
    <s v="Economy Binders"/>
    <n v="1.25"/>
    <n v="3"/>
    <n v="0.8"/>
    <n v="-1.93"/>
  </r>
  <r>
    <x v="34"/>
    <x v="3"/>
    <x v="4"/>
    <d v="2014-12-12T00:00:00"/>
    <n v="2"/>
    <x v="2"/>
    <s v="Ken Brennan"/>
    <x v="1"/>
    <s v="United States"/>
    <s v="Houston"/>
    <s v="Texas"/>
    <x v="2"/>
    <x v="0"/>
    <x v="5"/>
    <s v="6&quot; Cubicle Wall Clock, Black"/>
    <n v="9.7100000000000009"/>
    <n v="3"/>
    <n v="0.6"/>
    <n v="-5.82"/>
  </r>
  <r>
    <x v="34"/>
    <x v="3"/>
    <x v="4"/>
    <d v="2014-12-12T00:00:00"/>
    <n v="2"/>
    <x v="2"/>
    <s v="Ken Brennan"/>
    <x v="1"/>
    <s v="United States"/>
    <s v="Houston"/>
    <s v="Texas"/>
    <x v="2"/>
    <x v="1"/>
    <x v="4"/>
    <s v="SimpliFile Personal File, Black Granite, 15w x 6-15/16d x 11-1/4h"/>
    <n v="27.24"/>
    <n v="3"/>
    <n v="0.2"/>
    <n v="2.72"/>
  </r>
  <r>
    <x v="35"/>
    <x v="2"/>
    <x v="0"/>
    <d v="2011-01-12T00:00:00"/>
    <n v="5"/>
    <x v="0"/>
    <s v="Joel Eaton"/>
    <x v="0"/>
    <s v="United States"/>
    <s v="Houston"/>
    <s v="Texas"/>
    <x v="2"/>
    <x v="0"/>
    <x v="5"/>
    <s v="Eldon Expressions Desk Accessory, Wood Pencil Holder, Oak"/>
    <n v="19.3"/>
    <n v="5"/>
    <n v="0.6"/>
    <n v="-14.48"/>
  </r>
  <r>
    <x v="1"/>
    <x v="0"/>
    <x v="1"/>
    <s v="16-06-2013"/>
    <n v="3"/>
    <x v="2"/>
    <s v="Stewart Carmichael"/>
    <x v="1"/>
    <s v="United States"/>
    <s v="Decatur"/>
    <s v="Alabama"/>
    <x v="0"/>
    <x v="1"/>
    <x v="9"/>
    <s v="1.7 Cubic Foot Compact &quot;Cube&quot; Office Refrigerators"/>
    <n v="208.16"/>
    <n v="1"/>
    <n v="0"/>
    <n v="56.2"/>
  </r>
  <r>
    <x v="1"/>
    <x v="0"/>
    <x v="1"/>
    <s v="16-06-2013"/>
    <n v="3"/>
    <x v="2"/>
    <s v="Stewart Carmichael"/>
    <x v="1"/>
    <s v="United States"/>
    <s v="Decatur"/>
    <s v="Alabama"/>
    <x v="0"/>
    <x v="1"/>
    <x v="8"/>
    <s v="Avery Heavy-Duty EZD  Binder With Locking Rings"/>
    <n v="16.739999999999998"/>
    <n v="3"/>
    <n v="0"/>
    <n v="8.0399999999999991"/>
  </r>
  <r>
    <x v="36"/>
    <x v="2"/>
    <x v="2"/>
    <s v="16-10-2011"/>
    <n v="4"/>
    <x v="1"/>
    <s v="Duane Noonan"/>
    <x v="0"/>
    <s v="United States"/>
    <s v="San Francisco"/>
    <s v="California"/>
    <x v="1"/>
    <x v="1"/>
    <x v="6"/>
    <s v="Premium Writing Pencils, Soft, #2 by Central Association for the Blind"/>
    <n v="14.9"/>
    <n v="5"/>
    <n v="0"/>
    <n v="4.17"/>
  </r>
  <r>
    <x v="36"/>
    <x v="2"/>
    <x v="2"/>
    <s v="16-10-2011"/>
    <n v="4"/>
    <x v="1"/>
    <s v="Duane Noonan"/>
    <x v="0"/>
    <s v="United States"/>
    <s v="San Francisco"/>
    <s v="California"/>
    <x v="1"/>
    <x v="1"/>
    <x v="4"/>
    <s v="Sortfiler Multipurpose Personal File Organizer, Black"/>
    <n v="21.39"/>
    <n v="1"/>
    <n v="0"/>
    <n v="6.2"/>
  </r>
  <r>
    <x v="37"/>
    <x v="1"/>
    <x v="8"/>
    <d v="2012-08-09T00:00:00"/>
    <n v="5"/>
    <x v="1"/>
    <s v="Julie Creighton"/>
    <x v="1"/>
    <s v="United States"/>
    <s v="Durham"/>
    <s v="North Carolina"/>
    <x v="0"/>
    <x v="1"/>
    <x v="12"/>
    <s v="Jet-Pak Recycled Peel 'N' Seal Padded Mailers"/>
    <n v="200.98"/>
    <n v="7"/>
    <n v="0.2"/>
    <n v="62.81"/>
  </r>
  <r>
    <x v="38"/>
    <x v="3"/>
    <x v="0"/>
    <s v="17-11-2014"/>
    <n v="3"/>
    <x v="2"/>
    <s v="Christopher Schild"/>
    <x v="2"/>
    <s v="United States"/>
    <s v="Chicago"/>
    <s v="Illinois"/>
    <x v="2"/>
    <x v="1"/>
    <x v="4"/>
    <s v="Safco Industrial Wire Shelving"/>
    <n v="230.38"/>
    <n v="3"/>
    <n v="0.2"/>
    <n v="-48.95"/>
  </r>
  <r>
    <x v="39"/>
    <x v="3"/>
    <x v="5"/>
    <s v="31-05-2014"/>
    <n v="2"/>
    <x v="0"/>
    <s v="Patrick O'Donnell"/>
    <x v="0"/>
    <s v="United States"/>
    <s v="Columbia"/>
    <s v="South Carolina"/>
    <x v="0"/>
    <x v="0"/>
    <x v="1"/>
    <s v="Novimex Swivel Fabric Task Chair"/>
    <n v="301.95999999999998"/>
    <n v="2"/>
    <n v="0"/>
    <n v="33.22"/>
  </r>
  <r>
    <x v="40"/>
    <x v="3"/>
    <x v="2"/>
    <d v="2014-03-11T00:00:00"/>
    <n v="7"/>
    <x v="1"/>
    <s v="Paul Gonzalez"/>
    <x v="0"/>
    <s v="United States"/>
    <s v="Rochester"/>
    <s v="Minnesota"/>
    <x v="2"/>
    <x v="2"/>
    <x v="11"/>
    <s v="Logitech LS21 Speaker System - PC Multimedia - 2.1-CH - Wired"/>
    <n v="19.989999999999998"/>
    <n v="1"/>
    <n v="0"/>
    <n v="6.8"/>
  </r>
  <r>
    <x v="40"/>
    <x v="3"/>
    <x v="2"/>
    <d v="2014-03-11T00:00:00"/>
    <n v="7"/>
    <x v="1"/>
    <s v="Paul Gonzalez"/>
    <x v="0"/>
    <s v="United States"/>
    <s v="Rochester"/>
    <s v="Minnesota"/>
    <x v="2"/>
    <x v="1"/>
    <x v="2"/>
    <s v="Avery 511"/>
    <n v="6.16"/>
    <n v="2"/>
    <n v="0"/>
    <n v="2.96"/>
  </r>
  <r>
    <x v="41"/>
    <x v="0"/>
    <x v="3"/>
    <d v="2013-11-04T00:00:00"/>
    <n v="5"/>
    <x v="0"/>
    <s v="Gary Mitchum"/>
    <x v="2"/>
    <s v="United States"/>
    <s v="Houston"/>
    <s v="Texas"/>
    <x v="2"/>
    <x v="1"/>
    <x v="4"/>
    <s v="Eldon Portable Mobile Manager"/>
    <n v="158.37"/>
    <n v="7"/>
    <n v="0.2"/>
    <n v="13.86"/>
  </r>
  <r>
    <x v="42"/>
    <x v="0"/>
    <x v="8"/>
    <s v="23-09-2013"/>
    <n v="5"/>
    <x v="1"/>
    <s v="Jim Sink"/>
    <x v="1"/>
    <s v="United States"/>
    <s v="Los Angeles"/>
    <s v="California"/>
    <x v="1"/>
    <x v="1"/>
    <x v="6"/>
    <s v="Turquoise Lead Holder with Pocket Clip"/>
    <n v="20.100000000000001"/>
    <n v="3"/>
    <n v="0"/>
    <n v="6.63"/>
  </r>
  <r>
    <x v="42"/>
    <x v="0"/>
    <x v="8"/>
    <s v="23-09-2013"/>
    <n v="5"/>
    <x v="1"/>
    <s v="Jim Sink"/>
    <x v="1"/>
    <s v="United States"/>
    <s v="Los Angeles"/>
    <s v="California"/>
    <x v="1"/>
    <x v="2"/>
    <x v="7"/>
    <s v="Panasonic Kx-TS550"/>
    <n v="73.58"/>
    <n v="2"/>
    <n v="0.2"/>
    <n v="8.2799999999999994"/>
  </r>
  <r>
    <x v="42"/>
    <x v="0"/>
    <x v="8"/>
    <s v="23-09-2013"/>
    <n v="5"/>
    <x v="1"/>
    <s v="Jim Sink"/>
    <x v="1"/>
    <s v="United States"/>
    <s v="Los Angeles"/>
    <s v="California"/>
    <x v="1"/>
    <x v="1"/>
    <x v="10"/>
    <s v="Xerox 1995"/>
    <n v="6.48"/>
    <n v="1"/>
    <n v="0"/>
    <n v="3.11"/>
  </r>
  <r>
    <x v="43"/>
    <x v="1"/>
    <x v="9"/>
    <d v="2012-05-02T00:00:00"/>
    <n v="5"/>
    <x v="0"/>
    <s v="Karl Braun"/>
    <x v="0"/>
    <s v="United States"/>
    <s v="Minneapolis"/>
    <s v="Minnesota"/>
    <x v="2"/>
    <x v="1"/>
    <x v="10"/>
    <s v="Xerox 1999"/>
    <n v="12.96"/>
    <n v="2"/>
    <n v="0"/>
    <n v="6.22"/>
  </r>
  <r>
    <x v="43"/>
    <x v="1"/>
    <x v="9"/>
    <d v="2012-05-02T00:00:00"/>
    <n v="5"/>
    <x v="0"/>
    <s v="Karl Braun"/>
    <x v="0"/>
    <s v="United States"/>
    <s v="Minneapolis"/>
    <s v="Minnesota"/>
    <x v="2"/>
    <x v="0"/>
    <x v="5"/>
    <s v="Seth Thomas 13 1/2&quot; Wall Clock"/>
    <n v="53.34"/>
    <n v="3"/>
    <n v="0"/>
    <n v="16.54"/>
  </r>
  <r>
    <x v="43"/>
    <x v="1"/>
    <x v="9"/>
    <d v="2012-05-02T00:00:00"/>
    <n v="5"/>
    <x v="0"/>
    <s v="Karl Braun"/>
    <x v="0"/>
    <s v="United States"/>
    <s v="Minneapolis"/>
    <s v="Minnesota"/>
    <x v="2"/>
    <x v="1"/>
    <x v="8"/>
    <s v="Ibico Standard Transparent Covers"/>
    <n v="32.96"/>
    <n v="2"/>
    <n v="0"/>
    <n v="16.149999999999999"/>
  </r>
  <r>
    <x v="44"/>
    <x v="3"/>
    <x v="0"/>
    <s v="13-11-2014"/>
    <n v="6"/>
    <x v="1"/>
    <s v="Roger Barcio"/>
    <x v="2"/>
    <s v="United States"/>
    <s v="Portland"/>
    <s v="Oregon"/>
    <x v="1"/>
    <x v="1"/>
    <x v="8"/>
    <s v="Flexible Leather- Look Classic Collection Ring Binder"/>
    <n v="5.68"/>
    <n v="1"/>
    <n v="0.7"/>
    <n v="-3.79"/>
  </r>
  <r>
    <x v="45"/>
    <x v="3"/>
    <x v="0"/>
    <d v="2014-12-11T00:00:00"/>
    <n v="2"/>
    <x v="0"/>
    <s v="Parhena Norris"/>
    <x v="2"/>
    <s v="United States"/>
    <s v="New York City"/>
    <s v="New York"/>
    <x v="3"/>
    <x v="0"/>
    <x v="5"/>
    <s v="9-3/4 Diameter Round Wall Clock"/>
    <n v="96.53"/>
    <n v="7"/>
    <n v="0"/>
    <n v="40.54"/>
  </r>
  <r>
    <x v="46"/>
    <x v="3"/>
    <x v="1"/>
    <s v="21-06-2014"/>
    <n v="3"/>
    <x v="2"/>
    <s v="Katherine Ducich"/>
    <x v="0"/>
    <s v="United States"/>
    <s v="San Francisco"/>
    <s v="California"/>
    <x v="1"/>
    <x v="1"/>
    <x v="8"/>
    <s v="Trimflex Flexible Post Binders"/>
    <n v="51.31"/>
    <n v="3"/>
    <n v="0.2"/>
    <n v="17.96"/>
  </r>
  <r>
    <x v="47"/>
    <x v="0"/>
    <x v="8"/>
    <d v="2013-12-09T00:00:00"/>
    <n v="5"/>
    <x v="1"/>
    <s v="Elpida Rittenbach"/>
    <x v="1"/>
    <s v="United States"/>
    <s v="Saint Paul"/>
    <s v="Minnesota"/>
    <x v="2"/>
    <x v="1"/>
    <x v="9"/>
    <s v="Fellowes Basic Home/Office Series Surge Protectors"/>
    <n v="77.88"/>
    <n v="6"/>
    <n v="0"/>
    <n v="22.59"/>
  </r>
  <r>
    <x v="48"/>
    <x v="0"/>
    <x v="6"/>
    <d v="2013-03-09T00:00:00"/>
    <n v="4"/>
    <x v="1"/>
    <s v="Rick Bensley"/>
    <x v="2"/>
    <s v="United States"/>
    <s v="Chicago"/>
    <s v="Illinois"/>
    <x v="2"/>
    <x v="1"/>
    <x v="10"/>
    <s v="Avery Personal Creations Heavyweight Cards"/>
    <n v="64.62"/>
    <n v="7"/>
    <n v="0.2"/>
    <n v="22.62"/>
  </r>
  <r>
    <x v="48"/>
    <x v="0"/>
    <x v="6"/>
    <d v="2013-03-09T00:00:00"/>
    <n v="4"/>
    <x v="1"/>
    <s v="Rick Bensley"/>
    <x v="2"/>
    <s v="United States"/>
    <s v="Chicago"/>
    <s v="Illinois"/>
    <x v="2"/>
    <x v="2"/>
    <x v="11"/>
    <s v="SanDisk Ultra 64 GB MicroSDHC Class 10 Memory Card"/>
    <n v="95.98"/>
    <n v="3"/>
    <n v="0.2"/>
    <n v="-10.8"/>
  </r>
  <r>
    <x v="48"/>
    <x v="0"/>
    <x v="6"/>
    <d v="2013-03-09T00:00:00"/>
    <n v="4"/>
    <x v="1"/>
    <s v="Rick Bensley"/>
    <x v="2"/>
    <s v="United States"/>
    <s v="Chicago"/>
    <s v="Illinois"/>
    <x v="2"/>
    <x v="1"/>
    <x v="8"/>
    <s v="Avery Hidden Tab Dividers for Binding Systems"/>
    <n v="1.79"/>
    <n v="3"/>
    <n v="0.8"/>
    <n v="-3.04"/>
  </r>
  <r>
    <x v="49"/>
    <x v="0"/>
    <x v="4"/>
    <d v="2013-05-12T00:00:00"/>
    <n v="3"/>
    <x v="0"/>
    <s v="Gary Zandusky"/>
    <x v="0"/>
    <s v="United States"/>
    <s v="Rochester"/>
    <s v="Minnesota"/>
    <x v="2"/>
    <x v="1"/>
    <x v="10"/>
    <s v="Universal Premium White Copier/Laser Paper (20Lb. and 87 Bright)"/>
    <n v="23.92"/>
    <n v="4"/>
    <n v="0"/>
    <n v="11.72"/>
  </r>
  <r>
    <x v="50"/>
    <x v="1"/>
    <x v="0"/>
    <s v="17-11-2012"/>
    <n v="4"/>
    <x v="1"/>
    <s v="Lena Cacioppo"/>
    <x v="0"/>
    <s v="United States"/>
    <s v="Aurora"/>
    <s v="Colorado"/>
    <x v="1"/>
    <x v="2"/>
    <x v="11"/>
    <s v="Logitech K350 2.4Ghz Wireless Keyboard"/>
    <n v="238.9"/>
    <n v="6"/>
    <n v="0.2"/>
    <n v="-26.88"/>
  </r>
  <r>
    <x v="50"/>
    <x v="1"/>
    <x v="0"/>
    <s v="17-11-2012"/>
    <n v="4"/>
    <x v="1"/>
    <s v="Lena Cacioppo"/>
    <x v="0"/>
    <s v="United States"/>
    <s v="Aurora"/>
    <s v="Colorado"/>
    <x v="1"/>
    <x v="0"/>
    <x v="5"/>
    <s v="Deflect-o DuraMat Lighweight, Studded, Beveled Mat for Low Pile Carpeting"/>
    <n v="102.36"/>
    <n v="3"/>
    <n v="0.2"/>
    <n v="-3.84"/>
  </r>
  <r>
    <x v="50"/>
    <x v="1"/>
    <x v="0"/>
    <s v="17-11-2012"/>
    <n v="4"/>
    <x v="1"/>
    <s v="Lena Cacioppo"/>
    <x v="0"/>
    <s v="United States"/>
    <s v="Aurora"/>
    <s v="Colorado"/>
    <x v="1"/>
    <x v="1"/>
    <x v="8"/>
    <s v="Avery Trapezoid Ring Binder, 3&quot; Capacity, Black, 1040 sheets"/>
    <n v="36.880000000000003"/>
    <n v="3"/>
    <n v="0.7"/>
    <n v="-25.82"/>
  </r>
  <r>
    <x v="51"/>
    <x v="3"/>
    <x v="0"/>
    <s v="29-11-2014"/>
    <n v="5"/>
    <x v="1"/>
    <s v="Janet Martin"/>
    <x v="0"/>
    <s v="United States"/>
    <s v="Charlotte"/>
    <s v="North Carolina"/>
    <x v="0"/>
    <x v="2"/>
    <x v="11"/>
    <s v="Memorex Mini Travel Drive 8 GB USB 2.0 Flash Drive"/>
    <n v="74.11"/>
    <n v="8"/>
    <n v="0.2"/>
    <n v="17.600000000000001"/>
  </r>
  <r>
    <x v="51"/>
    <x v="3"/>
    <x v="0"/>
    <s v="29-11-2014"/>
    <n v="5"/>
    <x v="1"/>
    <s v="Janet Martin"/>
    <x v="0"/>
    <s v="United States"/>
    <s v="Charlotte"/>
    <s v="North Carolina"/>
    <x v="0"/>
    <x v="2"/>
    <x v="7"/>
    <s v="Speck Products Candyshell Flip Case"/>
    <n v="27.99"/>
    <n v="1"/>
    <n v="0.2"/>
    <n v="2.1"/>
  </r>
  <r>
    <x v="51"/>
    <x v="3"/>
    <x v="0"/>
    <s v="29-11-2014"/>
    <n v="5"/>
    <x v="1"/>
    <s v="Janet Martin"/>
    <x v="0"/>
    <s v="United States"/>
    <s v="Charlotte"/>
    <s v="North Carolina"/>
    <x v="0"/>
    <x v="1"/>
    <x v="6"/>
    <s v="Newell Chalk Holder"/>
    <n v="3.3"/>
    <n v="1"/>
    <n v="0.2"/>
    <n v="1.07"/>
  </r>
  <r>
    <x v="52"/>
    <x v="1"/>
    <x v="2"/>
    <s v="20-10-2012"/>
    <n v="5"/>
    <x v="1"/>
    <s v="Pete Armstrong"/>
    <x v="2"/>
    <s v="United States"/>
    <s v="Orland Park"/>
    <s v="Illinois"/>
    <x v="2"/>
    <x v="2"/>
    <x v="11"/>
    <s v="Logitech Gaming G510s - Keyboard"/>
    <n v="339.96"/>
    <n v="5"/>
    <n v="0.2"/>
    <n v="67.989999999999995"/>
  </r>
  <r>
    <x v="53"/>
    <x v="3"/>
    <x v="4"/>
    <s v="31-12-2014"/>
    <n v="5"/>
    <x v="1"/>
    <s v="Cynthia Voltz"/>
    <x v="1"/>
    <s v="United States"/>
    <s v="New York City"/>
    <s v="New York"/>
    <x v="3"/>
    <x v="0"/>
    <x v="5"/>
    <s v="Magnifier Swing Arm Lamp"/>
    <n v="41.96"/>
    <n v="2"/>
    <n v="0"/>
    <n v="10.91"/>
  </r>
  <r>
    <x v="54"/>
    <x v="0"/>
    <x v="0"/>
    <d v="2013-11-11T00:00:00"/>
    <n v="7"/>
    <x v="1"/>
    <s v="Clay Ludtke"/>
    <x v="0"/>
    <s v="United States"/>
    <s v="Urbandale"/>
    <s v="Iowa"/>
    <x v="2"/>
    <x v="1"/>
    <x v="6"/>
    <s v="Hunt PowerHouse Electric Pencil Sharpener, Blue"/>
    <n v="75.959999999999994"/>
    <n v="2"/>
    <n v="0"/>
    <n v="22.79"/>
  </r>
  <r>
    <x v="54"/>
    <x v="0"/>
    <x v="0"/>
    <d v="2013-11-11T00:00:00"/>
    <n v="7"/>
    <x v="1"/>
    <s v="Clay Ludtke"/>
    <x v="0"/>
    <s v="United States"/>
    <s v="Urbandale"/>
    <s v="Iowa"/>
    <x v="2"/>
    <x v="1"/>
    <x v="8"/>
    <s v="Avery Durable Plastic 1&quot; Binders"/>
    <n v="27.24"/>
    <n v="6"/>
    <n v="0"/>
    <n v="13.35"/>
  </r>
  <r>
    <x v="55"/>
    <x v="2"/>
    <x v="6"/>
    <s v="27-08-2011"/>
    <n v="2"/>
    <x v="0"/>
    <s v="Ryan Crowe"/>
    <x v="0"/>
    <s v="United States"/>
    <s v="Columbus"/>
    <s v="Ohio"/>
    <x v="3"/>
    <x v="1"/>
    <x v="13"/>
    <s v="OIC Colored Binder Clips, Assorted Sizes"/>
    <n v="40.1"/>
    <n v="14"/>
    <n v="0.2"/>
    <n v="14.53"/>
  </r>
  <r>
    <x v="55"/>
    <x v="2"/>
    <x v="6"/>
    <s v="27-08-2011"/>
    <n v="2"/>
    <x v="0"/>
    <s v="Ryan Crowe"/>
    <x v="0"/>
    <s v="United States"/>
    <s v="Columbus"/>
    <s v="Ohio"/>
    <x v="3"/>
    <x v="1"/>
    <x v="12"/>
    <s v="Redi-Strip #10 Envelopes, 4 1/8 x 9 1/2"/>
    <n v="4.72"/>
    <n v="2"/>
    <n v="0.2"/>
    <n v="1.65"/>
  </r>
  <r>
    <x v="55"/>
    <x v="2"/>
    <x v="6"/>
    <s v="27-08-2011"/>
    <n v="2"/>
    <x v="0"/>
    <s v="Ryan Crowe"/>
    <x v="0"/>
    <s v="United States"/>
    <s v="Columbus"/>
    <s v="Ohio"/>
    <x v="3"/>
    <x v="1"/>
    <x v="10"/>
    <s v="Xerox 1921"/>
    <n v="23.98"/>
    <n v="3"/>
    <n v="0.2"/>
    <n v="7.49"/>
  </r>
  <r>
    <x v="55"/>
    <x v="2"/>
    <x v="6"/>
    <s v="27-08-2011"/>
    <n v="2"/>
    <x v="0"/>
    <s v="Ryan Crowe"/>
    <x v="0"/>
    <s v="United States"/>
    <s v="Columbus"/>
    <s v="Ohio"/>
    <x v="3"/>
    <x v="1"/>
    <x v="12"/>
    <s v="Tyvek  Top-Opening Peel &amp; Seel Envelopes, Plain White"/>
    <n v="130.46"/>
    <n v="6"/>
    <n v="0.2"/>
    <n v="44.03"/>
  </r>
  <r>
    <x v="56"/>
    <x v="1"/>
    <x v="10"/>
    <d v="2012-06-03T00:00:00"/>
    <n v="4"/>
    <x v="1"/>
    <s v="Dave Kipp"/>
    <x v="0"/>
    <s v="United States"/>
    <s v="Seattle"/>
    <s v="Washington"/>
    <x v="1"/>
    <x v="0"/>
    <x v="3"/>
    <s v="Hon Racetrack Conference Tables"/>
    <n v="787.53"/>
    <n v="3"/>
    <n v="0"/>
    <n v="165.38"/>
  </r>
  <r>
    <x v="57"/>
    <x v="1"/>
    <x v="3"/>
    <d v="2012-10-04T00:00:00"/>
    <n v="5"/>
    <x v="1"/>
    <s v="Greg Guthrie"/>
    <x v="1"/>
    <s v="United States"/>
    <s v="Bristol"/>
    <s v="Tennessee"/>
    <x v="0"/>
    <x v="1"/>
    <x v="8"/>
    <s v="GBC DocuBind 300 Electric Binding Machine"/>
    <n v="157.79"/>
    <n v="1"/>
    <n v="0.7"/>
    <n v="-115.72"/>
  </r>
  <r>
    <x v="1"/>
    <x v="0"/>
    <x v="1"/>
    <s v="16-06-2013"/>
    <n v="3"/>
    <x v="2"/>
    <s v="Steven Cartwright"/>
    <x v="0"/>
    <s v="United States"/>
    <s v="Wilmington"/>
    <s v="Delaware"/>
    <x v="3"/>
    <x v="0"/>
    <x v="5"/>
    <s v="Artistic Insta-Plaque"/>
    <n v="47.04"/>
    <n v="3"/>
    <n v="0"/>
    <n v="18.350000000000001"/>
  </r>
  <r>
    <x v="1"/>
    <x v="0"/>
    <x v="1"/>
    <s v="16-06-2013"/>
    <n v="3"/>
    <x v="2"/>
    <s v="Steven Cartwright"/>
    <x v="0"/>
    <s v="United States"/>
    <s v="Wilmington"/>
    <s v="Delaware"/>
    <x v="3"/>
    <x v="1"/>
    <x v="8"/>
    <s v="DXL Angle-View Binders with Locking Rings by Samsill"/>
    <n v="30.84"/>
    <n v="4"/>
    <n v="0"/>
    <n v="13.88"/>
  </r>
  <r>
    <x v="1"/>
    <x v="0"/>
    <x v="1"/>
    <s v="16-06-2013"/>
    <n v="3"/>
    <x v="2"/>
    <s v="Steven Cartwright"/>
    <x v="0"/>
    <s v="United States"/>
    <s v="Wilmington"/>
    <s v="Delaware"/>
    <x v="3"/>
    <x v="1"/>
    <x v="4"/>
    <s v="Companion Letter/Legal File, Black"/>
    <n v="226.56"/>
    <n v="6"/>
    <n v="0"/>
    <n v="63.44"/>
  </r>
  <r>
    <x v="1"/>
    <x v="0"/>
    <x v="1"/>
    <s v="16-06-2013"/>
    <n v="3"/>
    <x v="2"/>
    <s v="Steven Cartwright"/>
    <x v="0"/>
    <s v="United States"/>
    <s v="Wilmington"/>
    <s v="Delaware"/>
    <x v="3"/>
    <x v="1"/>
    <x v="12"/>
    <s v="Globe Weis Peel &amp; Seel First Class Envelopes"/>
    <n v="115.02"/>
    <n v="9"/>
    <n v="0"/>
    <n v="51.76"/>
  </r>
  <r>
    <x v="1"/>
    <x v="0"/>
    <x v="1"/>
    <s v="16-06-2013"/>
    <n v="3"/>
    <x v="2"/>
    <s v="Steven Cartwright"/>
    <x v="0"/>
    <s v="United States"/>
    <s v="Wilmington"/>
    <s v="Delaware"/>
    <x v="3"/>
    <x v="2"/>
    <x v="7"/>
    <s v="KLD Oscar II Style Snap-on Ultra Thin Side Flip Synthetic Leather Cover Case for HTC One HTC M7"/>
    <n v="68.040000000000006"/>
    <n v="7"/>
    <n v="0"/>
    <n v="19.73"/>
  </r>
  <r>
    <x v="58"/>
    <x v="2"/>
    <x v="4"/>
    <s v="28-12-2011"/>
    <n v="2"/>
    <x v="0"/>
    <s v="Alan Dominguez"/>
    <x v="2"/>
    <s v="United States"/>
    <s v="Houston"/>
    <s v="Texas"/>
    <x v="2"/>
    <x v="0"/>
    <x v="1"/>
    <s v="Global Deluxe High-Back Manager's Chair"/>
    <n v="600.55999999999995"/>
    <n v="3"/>
    <n v="0.3"/>
    <n v="-8.58"/>
  </r>
  <r>
    <x v="59"/>
    <x v="2"/>
    <x v="8"/>
    <s v="25-09-2011"/>
    <n v="5"/>
    <x v="1"/>
    <s v="Philip Fox"/>
    <x v="0"/>
    <s v="United States"/>
    <s v="Bloomington"/>
    <s v="Illinois"/>
    <x v="2"/>
    <x v="0"/>
    <x v="3"/>
    <s v="Bevis 44 x 96 Conference Tables"/>
    <n v="617.70000000000005"/>
    <n v="6"/>
    <n v="0.5"/>
    <n v="-407.68"/>
  </r>
  <r>
    <x v="60"/>
    <x v="3"/>
    <x v="0"/>
    <s v="13-11-2014"/>
    <n v="7"/>
    <x v="1"/>
    <s v="Troy Staebel"/>
    <x v="0"/>
    <s v="United States"/>
    <s v="Phoenix"/>
    <s v="Arizona"/>
    <x v="1"/>
    <x v="1"/>
    <x v="8"/>
    <s v="Avery Durable Slant Ring Binders, No Labels"/>
    <n v="2.39"/>
    <n v="2"/>
    <n v="0.7"/>
    <n v="-1.83"/>
  </r>
  <r>
    <x v="60"/>
    <x v="3"/>
    <x v="0"/>
    <s v="13-11-2014"/>
    <n v="7"/>
    <x v="1"/>
    <s v="Troy Staebel"/>
    <x v="0"/>
    <s v="United States"/>
    <s v="Phoenix"/>
    <s v="Arizona"/>
    <x v="1"/>
    <x v="1"/>
    <x v="4"/>
    <s v="Trav-L-File Heavy-Duty Shuttle II, Black"/>
    <n v="243.99"/>
    <n v="7"/>
    <n v="0.2"/>
    <n v="30.5"/>
  </r>
  <r>
    <x v="61"/>
    <x v="0"/>
    <x v="0"/>
    <d v="2013-11-11T00:00:00"/>
    <n v="4"/>
    <x v="0"/>
    <s v="Lindsay Shagiari"/>
    <x v="2"/>
    <s v="United States"/>
    <s v="Los Angeles"/>
    <s v="California"/>
    <x v="1"/>
    <x v="0"/>
    <x v="1"/>
    <s v="Global Task Chair, Black"/>
    <n v="81.42"/>
    <n v="2"/>
    <n v="0.2"/>
    <n v="-9.16"/>
  </r>
  <r>
    <x v="61"/>
    <x v="0"/>
    <x v="0"/>
    <d v="2013-11-11T00:00:00"/>
    <n v="4"/>
    <x v="0"/>
    <s v="Lindsay Shagiari"/>
    <x v="2"/>
    <s v="United States"/>
    <s v="Los Angeles"/>
    <s v="California"/>
    <x v="1"/>
    <x v="0"/>
    <x v="5"/>
    <s v="Eldon Cleatmat Plus Chair Mats for High Pile Carpets"/>
    <n v="238.56"/>
    <n v="3"/>
    <n v="0"/>
    <n v="26.24"/>
  </r>
  <r>
    <x v="62"/>
    <x v="3"/>
    <x v="11"/>
    <d v="2014-06-02T00:00:00"/>
    <n v="3"/>
    <x v="2"/>
    <s v="Dorothy Wardle"/>
    <x v="1"/>
    <s v="United States"/>
    <s v="Columbus"/>
    <s v="Ohio"/>
    <x v="3"/>
    <x v="2"/>
    <x v="7"/>
    <s v="Anker 36W 4-Port USB Wall Charger Travel Power Adapter for iPhone 5s 5c 5"/>
    <n v="59.97"/>
    <n v="5"/>
    <n v="0.4"/>
    <n v="-11.99"/>
  </r>
  <r>
    <x v="62"/>
    <x v="3"/>
    <x v="11"/>
    <d v="2014-06-02T00:00:00"/>
    <n v="3"/>
    <x v="2"/>
    <s v="Dorothy Wardle"/>
    <x v="1"/>
    <s v="United States"/>
    <s v="Columbus"/>
    <s v="Ohio"/>
    <x v="3"/>
    <x v="1"/>
    <x v="10"/>
    <s v="Xerox 1916"/>
    <n v="78.3"/>
    <n v="2"/>
    <n v="0.2"/>
    <n v="29.36"/>
  </r>
  <r>
    <x v="62"/>
    <x v="3"/>
    <x v="11"/>
    <d v="2014-06-02T00:00:00"/>
    <n v="3"/>
    <x v="2"/>
    <s v="Dorothy Wardle"/>
    <x v="1"/>
    <s v="United States"/>
    <s v="Columbus"/>
    <s v="Ohio"/>
    <x v="3"/>
    <x v="1"/>
    <x v="13"/>
    <s v="Staples"/>
    <n v="21.46"/>
    <n v="9"/>
    <n v="0.2"/>
    <n v="6.97"/>
  </r>
  <r>
    <x v="63"/>
    <x v="0"/>
    <x v="2"/>
    <s v="20-10-2013"/>
    <n v="6"/>
    <x v="1"/>
    <s v="Lena Creighton"/>
    <x v="0"/>
    <s v="United States"/>
    <s v="Roseville"/>
    <s v="California"/>
    <x v="1"/>
    <x v="1"/>
    <x v="10"/>
    <s v="Xerox 195"/>
    <n v="20.04"/>
    <n v="3"/>
    <n v="0"/>
    <n v="9.6199999999999992"/>
  </r>
  <r>
    <x v="63"/>
    <x v="0"/>
    <x v="2"/>
    <s v="20-10-2013"/>
    <n v="6"/>
    <x v="1"/>
    <s v="Lena Creighton"/>
    <x v="0"/>
    <s v="United States"/>
    <s v="Roseville"/>
    <s v="California"/>
    <x v="1"/>
    <x v="1"/>
    <x v="10"/>
    <s v="Xerox 1880"/>
    <n v="35.44"/>
    <n v="1"/>
    <n v="0"/>
    <n v="16.66"/>
  </r>
  <r>
    <x v="63"/>
    <x v="0"/>
    <x v="2"/>
    <s v="20-10-2013"/>
    <n v="6"/>
    <x v="1"/>
    <s v="Lena Creighton"/>
    <x v="0"/>
    <s v="United States"/>
    <s v="Roseville"/>
    <s v="California"/>
    <x v="1"/>
    <x v="1"/>
    <x v="6"/>
    <s v="Sanford Colorific Colored Pencils, 12/Box"/>
    <n v="11.52"/>
    <n v="4"/>
    <n v="0"/>
    <n v="3.46"/>
  </r>
  <r>
    <x v="63"/>
    <x v="0"/>
    <x v="2"/>
    <s v="20-10-2013"/>
    <n v="6"/>
    <x v="1"/>
    <s v="Lena Creighton"/>
    <x v="0"/>
    <s v="United States"/>
    <s v="Roseville"/>
    <s v="California"/>
    <x v="1"/>
    <x v="1"/>
    <x v="13"/>
    <s v="Ideal Clamps"/>
    <n v="4.0199999999999996"/>
    <n v="2"/>
    <n v="0"/>
    <n v="1.97"/>
  </r>
  <r>
    <x v="63"/>
    <x v="0"/>
    <x v="2"/>
    <s v="20-10-2013"/>
    <n v="6"/>
    <x v="1"/>
    <s v="Lena Creighton"/>
    <x v="0"/>
    <s v="United States"/>
    <s v="Roseville"/>
    <s v="California"/>
    <x v="1"/>
    <x v="1"/>
    <x v="8"/>
    <s v="GBC Wire Binding Strips"/>
    <n v="76.180000000000007"/>
    <n v="3"/>
    <n v="0.2"/>
    <n v="26.66"/>
  </r>
  <r>
    <x v="63"/>
    <x v="0"/>
    <x v="2"/>
    <s v="20-10-2013"/>
    <n v="6"/>
    <x v="1"/>
    <s v="Lena Creighton"/>
    <x v="0"/>
    <s v="United States"/>
    <s v="Roseville"/>
    <s v="California"/>
    <x v="1"/>
    <x v="1"/>
    <x v="14"/>
    <s v="Fiskars Softgrip Scissors"/>
    <n v="65.88"/>
    <n v="6"/>
    <n v="0"/>
    <n v="18.45"/>
  </r>
  <r>
    <x v="63"/>
    <x v="0"/>
    <x v="2"/>
    <s v="20-10-2013"/>
    <n v="6"/>
    <x v="1"/>
    <s v="Lena Creighton"/>
    <x v="0"/>
    <s v="United States"/>
    <s v="Roseville"/>
    <s v="California"/>
    <x v="1"/>
    <x v="0"/>
    <x v="5"/>
    <s v="Longer-Life Soft White Bulbs"/>
    <n v="43.12"/>
    <n v="14"/>
    <n v="0"/>
    <n v="20.7"/>
  </r>
  <r>
    <x v="64"/>
    <x v="0"/>
    <x v="8"/>
    <d v="2013-08-09T00:00:00"/>
    <n v="2"/>
    <x v="0"/>
    <s v="Jonathan Doherty"/>
    <x v="1"/>
    <s v="United States"/>
    <s v="Philadelphia"/>
    <s v="Pennsylvania"/>
    <x v="3"/>
    <x v="0"/>
    <x v="5"/>
    <s v="Howard Miller 13-3/4&quot; Diameter Brushed Chrome Round Wall Clock"/>
    <n v="82.8"/>
    <n v="2"/>
    <n v="0.2"/>
    <n v="10.35"/>
  </r>
  <r>
    <x v="65"/>
    <x v="3"/>
    <x v="8"/>
    <s v="24-09-2014"/>
    <n v="5"/>
    <x v="1"/>
    <s v="Sally Hughsby"/>
    <x v="1"/>
    <s v="United States"/>
    <s v="San Francisco"/>
    <s v="California"/>
    <x v="1"/>
    <x v="1"/>
    <x v="6"/>
    <s v="Newell 343"/>
    <n v="8.82"/>
    <n v="3"/>
    <n v="0"/>
    <n v="2.38"/>
  </r>
  <r>
    <x v="65"/>
    <x v="3"/>
    <x v="8"/>
    <s v="24-09-2014"/>
    <n v="5"/>
    <x v="1"/>
    <s v="Sally Hughsby"/>
    <x v="1"/>
    <s v="United States"/>
    <s v="San Francisco"/>
    <s v="California"/>
    <x v="1"/>
    <x v="1"/>
    <x v="12"/>
    <s v="Convenience Packs of Business Envelopes"/>
    <n v="10.86"/>
    <n v="3"/>
    <n v="0"/>
    <n v="5.0999999999999996"/>
  </r>
  <r>
    <x v="65"/>
    <x v="3"/>
    <x v="8"/>
    <s v="24-09-2014"/>
    <n v="5"/>
    <x v="1"/>
    <s v="Sally Hughsby"/>
    <x v="1"/>
    <s v="United States"/>
    <s v="San Francisco"/>
    <s v="California"/>
    <x v="1"/>
    <x v="1"/>
    <x v="10"/>
    <s v="Xerox 1911"/>
    <n v="143.69999999999999"/>
    <n v="3"/>
    <n v="0"/>
    <n v="68.98"/>
  </r>
  <r>
    <x v="66"/>
    <x v="3"/>
    <x v="4"/>
    <s v="28-12-2014"/>
    <n v="5"/>
    <x v="1"/>
    <s v="Sandra Glassco"/>
    <x v="0"/>
    <s v="United States"/>
    <s v="Independence"/>
    <s v="Missouri"/>
    <x v="2"/>
    <x v="1"/>
    <x v="9"/>
    <s v="Sanyo 2.5 Cubic Foot Mid-Size Office Refrigerators"/>
    <n v="839.43"/>
    <n v="3"/>
    <n v="0"/>
    <n v="218.25"/>
  </r>
  <r>
    <x v="67"/>
    <x v="1"/>
    <x v="8"/>
    <d v="2012-12-09T00:00:00"/>
    <n v="5"/>
    <x v="1"/>
    <s v="Helen Andreada"/>
    <x v="0"/>
    <s v="United States"/>
    <s v="Pasadena"/>
    <s v="California"/>
    <x v="1"/>
    <x v="1"/>
    <x v="4"/>
    <s v="Safco Industrial Wire Shelving"/>
    <n v="671.93"/>
    <n v="7"/>
    <n v="0"/>
    <n v="20.16"/>
  </r>
  <r>
    <x v="68"/>
    <x v="2"/>
    <x v="2"/>
    <s v="28-10-2011"/>
    <n v="6"/>
    <x v="1"/>
    <s v="Maureen Gastineau"/>
    <x v="2"/>
    <s v="United States"/>
    <s v="Newark"/>
    <s v="Ohio"/>
    <x v="3"/>
    <x v="0"/>
    <x v="5"/>
    <s v="Seth Thomas 14&quot; Putty-Colored Wall Clock"/>
    <n v="93.89"/>
    <n v="4"/>
    <n v="0.2"/>
    <n v="12.91"/>
  </r>
  <r>
    <x v="5"/>
    <x v="0"/>
    <x v="4"/>
    <d v="2013-10-12T00:00:00"/>
    <n v="4"/>
    <x v="1"/>
    <s v="Justin Ellison"/>
    <x v="1"/>
    <s v="United States"/>
    <s v="Franklin"/>
    <s v="Wisconsin"/>
    <x v="2"/>
    <x v="2"/>
    <x v="7"/>
    <s v="Plantronics Cordless Phone Headset with In-line Volume - M214C"/>
    <n v="384.45"/>
    <n v="11"/>
    <n v="0"/>
    <n v="103.8"/>
  </r>
  <r>
    <x v="5"/>
    <x v="0"/>
    <x v="4"/>
    <d v="2013-10-12T00:00:00"/>
    <n v="4"/>
    <x v="1"/>
    <s v="Justin Ellison"/>
    <x v="1"/>
    <s v="United States"/>
    <s v="Franklin"/>
    <s v="Wisconsin"/>
    <x v="2"/>
    <x v="2"/>
    <x v="7"/>
    <s v="Anker Astro 15000mAh USB Portable Charger"/>
    <n v="149.97"/>
    <n v="3"/>
    <n v="0"/>
    <n v="6"/>
  </r>
  <r>
    <x v="5"/>
    <x v="0"/>
    <x v="4"/>
    <d v="2013-10-12T00:00:00"/>
    <n v="4"/>
    <x v="1"/>
    <s v="Justin Ellison"/>
    <x v="1"/>
    <s v="United States"/>
    <s v="Franklin"/>
    <s v="Wisconsin"/>
    <x v="2"/>
    <x v="0"/>
    <x v="1"/>
    <s v="Hon Deluxe Fabric Upholstered Stacking Chairs, Rounded Back"/>
    <n v="1951.84"/>
    <n v="8"/>
    <n v="0"/>
    <n v="585.54999999999995"/>
  </r>
  <r>
    <x v="5"/>
    <x v="0"/>
    <x v="4"/>
    <d v="2013-10-12T00:00:00"/>
    <n v="4"/>
    <x v="1"/>
    <s v="Justin Ellison"/>
    <x v="1"/>
    <s v="United States"/>
    <s v="Franklin"/>
    <s v="Wisconsin"/>
    <x v="2"/>
    <x v="1"/>
    <x v="8"/>
    <s v="GBC Prestige Therm-A-Bind Covers"/>
    <n v="171.55"/>
    <n v="5"/>
    <n v="0"/>
    <n v="80.63"/>
  </r>
  <r>
    <x v="69"/>
    <x v="0"/>
    <x v="10"/>
    <s v="17-03-2013"/>
    <n v="3"/>
    <x v="2"/>
    <s v="Tamara Willingham"/>
    <x v="2"/>
    <s v="United States"/>
    <s v="Scottsdale"/>
    <s v="Arizona"/>
    <x v="1"/>
    <x v="1"/>
    <x v="9"/>
    <s v="Belkin 7 Outlet SurgeMaster Surge Protector with Phone Protection"/>
    <n v="157.91999999999999"/>
    <n v="5"/>
    <n v="0.2"/>
    <n v="17.77"/>
  </r>
  <r>
    <x v="69"/>
    <x v="0"/>
    <x v="10"/>
    <s v="17-03-2013"/>
    <n v="3"/>
    <x v="2"/>
    <s v="Tamara Willingham"/>
    <x v="2"/>
    <s v="United States"/>
    <s v="Scottsdale"/>
    <s v="Arizona"/>
    <x v="1"/>
    <x v="2"/>
    <x v="7"/>
    <s v="Jabra BIZ 2300 Duo QD Duo Corded Headset"/>
    <n v="203.18"/>
    <n v="2"/>
    <n v="0.2"/>
    <n v="15.24"/>
  </r>
  <r>
    <x v="70"/>
    <x v="1"/>
    <x v="5"/>
    <d v="2012-02-06T00:00:00"/>
    <n v="2"/>
    <x v="2"/>
    <s v="Stephanie Phelps"/>
    <x v="1"/>
    <s v="United States"/>
    <s v="San Jose"/>
    <s v="California"/>
    <x v="1"/>
    <x v="1"/>
    <x v="10"/>
    <s v="Southworth 25% Cotton Antique Laid Paper &amp; Envelopes"/>
    <n v="58.38"/>
    <n v="7"/>
    <n v="0"/>
    <n v="26.27"/>
  </r>
  <r>
    <x v="70"/>
    <x v="1"/>
    <x v="5"/>
    <d v="2012-02-06T00:00:00"/>
    <n v="2"/>
    <x v="2"/>
    <s v="Stephanie Phelps"/>
    <x v="1"/>
    <s v="United States"/>
    <s v="San Jose"/>
    <s v="California"/>
    <x v="1"/>
    <x v="1"/>
    <x v="10"/>
    <s v="Xerox 1883"/>
    <n v="105.52"/>
    <n v="4"/>
    <n v="0"/>
    <n v="48.54"/>
  </r>
  <r>
    <x v="70"/>
    <x v="1"/>
    <x v="5"/>
    <d v="2012-02-06T00:00:00"/>
    <n v="2"/>
    <x v="2"/>
    <s v="Stephanie Phelps"/>
    <x v="1"/>
    <s v="United States"/>
    <s v="San Jose"/>
    <s v="California"/>
    <x v="1"/>
    <x v="1"/>
    <x v="4"/>
    <s v="Tenex Personal Project File with Scoop Front Design, Black"/>
    <n v="80.88"/>
    <n v="6"/>
    <n v="0"/>
    <n v="21.03"/>
  </r>
  <r>
    <x v="71"/>
    <x v="1"/>
    <x v="5"/>
    <d v="2012-03-06T00:00:00"/>
    <n v="6"/>
    <x v="1"/>
    <s v="Neil Knudson"/>
    <x v="2"/>
    <s v="United States"/>
    <s v="Seattle"/>
    <s v="Washington"/>
    <x v="1"/>
    <x v="1"/>
    <x v="6"/>
    <s v="Newell 311"/>
    <n v="6.63"/>
    <n v="3"/>
    <n v="0"/>
    <n v="1.79"/>
  </r>
  <r>
    <x v="72"/>
    <x v="2"/>
    <x v="10"/>
    <d v="2011-06-03T00:00:00"/>
    <n v="5"/>
    <x v="0"/>
    <s v="Dave Brooks"/>
    <x v="0"/>
    <s v="United States"/>
    <s v="Seattle"/>
    <s v="Washington"/>
    <x v="1"/>
    <x v="0"/>
    <x v="1"/>
    <s v="Global Deluxe High-Back Manager's Chair"/>
    <n v="457.57"/>
    <n v="2"/>
    <n v="0.2"/>
    <n v="51.48"/>
  </r>
  <r>
    <x v="73"/>
    <x v="0"/>
    <x v="0"/>
    <s v="25-11-2013"/>
    <n v="4"/>
    <x v="1"/>
    <s v="Nora Paige"/>
    <x v="0"/>
    <s v="United States"/>
    <s v="Edmond"/>
    <s v="Oklahoma"/>
    <x v="2"/>
    <x v="1"/>
    <x v="2"/>
    <s v="Avery 519"/>
    <n v="14.62"/>
    <n v="2"/>
    <n v="0"/>
    <n v="6.87"/>
  </r>
  <r>
    <x v="73"/>
    <x v="0"/>
    <x v="0"/>
    <s v="25-11-2013"/>
    <n v="4"/>
    <x v="1"/>
    <s v="Nora Paige"/>
    <x v="0"/>
    <s v="United States"/>
    <s v="Edmond"/>
    <s v="Oklahoma"/>
    <x v="2"/>
    <x v="2"/>
    <x v="7"/>
    <s v="Avaya 5420 Digital phone"/>
    <n v="944.93"/>
    <n v="7"/>
    <n v="0"/>
    <n v="236.23"/>
  </r>
  <r>
    <x v="74"/>
    <x v="0"/>
    <x v="5"/>
    <s v="13-05-2013"/>
    <n v="1"/>
    <x v="2"/>
    <s v="Ted Trevino"/>
    <x v="0"/>
    <s v="United States"/>
    <s v="Los Angeles"/>
    <s v="California"/>
    <x v="1"/>
    <x v="1"/>
    <x v="10"/>
    <s v="Xerox 1920"/>
    <n v="5.98"/>
    <n v="1"/>
    <n v="0"/>
    <n v="2.69"/>
  </r>
  <r>
    <x v="75"/>
    <x v="1"/>
    <x v="4"/>
    <s v="31-12-2012"/>
    <n v="3"/>
    <x v="0"/>
    <s v="Eric Murdock"/>
    <x v="0"/>
    <s v="United States"/>
    <s v="Philadelphia"/>
    <s v="Pennsylvania"/>
    <x v="3"/>
    <x v="2"/>
    <x v="11"/>
    <s v="Lenovo 17-Key USB Numeric Keypad"/>
    <n v="54.38"/>
    <n v="2"/>
    <n v="0.2"/>
    <n v="1.36"/>
  </r>
  <r>
    <x v="76"/>
    <x v="0"/>
    <x v="0"/>
    <s v="21-11-2013"/>
    <n v="4"/>
    <x v="1"/>
    <s v="Ruben Dartt"/>
    <x v="0"/>
    <s v="United States"/>
    <s v="Carlsbad"/>
    <s v="New Mexico"/>
    <x v="1"/>
    <x v="1"/>
    <x v="12"/>
    <s v="Staples"/>
    <n v="28.4"/>
    <n v="5"/>
    <n v="0"/>
    <n v="13.35"/>
  </r>
  <r>
    <x v="77"/>
    <x v="0"/>
    <x v="0"/>
    <d v="2013-12-11T00:00:00"/>
    <n v="4"/>
    <x v="1"/>
    <s v="Max Jones"/>
    <x v="0"/>
    <s v="United States"/>
    <s v="Seattle"/>
    <s v="Washington"/>
    <x v="1"/>
    <x v="1"/>
    <x v="8"/>
    <s v="Wilson Jones International Size A4 Ring Binders"/>
    <n v="27.68"/>
    <n v="2"/>
    <n v="0.2"/>
    <n v="9.69"/>
  </r>
  <r>
    <x v="78"/>
    <x v="2"/>
    <x v="8"/>
    <d v="2011-12-09T00:00:00"/>
    <n v="4"/>
    <x v="1"/>
    <s v="Becky Martin"/>
    <x v="0"/>
    <s v="United States"/>
    <s v="San Antonio"/>
    <s v="Texas"/>
    <x v="2"/>
    <x v="1"/>
    <x v="6"/>
    <s v="BIC Brite Liner Highlighters"/>
    <n v="9.94"/>
    <n v="3"/>
    <n v="0.2"/>
    <n v="2.73"/>
  </r>
  <r>
    <x v="78"/>
    <x v="2"/>
    <x v="8"/>
    <d v="2011-12-09T00:00:00"/>
    <n v="4"/>
    <x v="1"/>
    <s v="Becky Martin"/>
    <x v="0"/>
    <s v="United States"/>
    <s v="San Antonio"/>
    <s v="Texas"/>
    <x v="2"/>
    <x v="2"/>
    <x v="15"/>
    <s v="Lexmark MX611dhe Monochrome Laser Printer"/>
    <n v="8159.95"/>
    <n v="8"/>
    <n v="0.4"/>
    <n v="-1359.99"/>
  </r>
  <r>
    <x v="78"/>
    <x v="2"/>
    <x v="8"/>
    <d v="2011-12-09T00:00:00"/>
    <n v="4"/>
    <x v="1"/>
    <s v="Becky Martin"/>
    <x v="0"/>
    <s v="United States"/>
    <s v="San Antonio"/>
    <s v="Texas"/>
    <x v="2"/>
    <x v="1"/>
    <x v="4"/>
    <s v="Space Solutions HD Industrial Steel Shelving."/>
    <n v="275.93"/>
    <n v="3"/>
    <n v="0.2"/>
    <n v="-58.63"/>
  </r>
  <r>
    <x v="78"/>
    <x v="2"/>
    <x v="8"/>
    <d v="2011-12-09T00:00:00"/>
    <n v="4"/>
    <x v="1"/>
    <s v="Becky Martin"/>
    <x v="0"/>
    <s v="United States"/>
    <s v="San Antonio"/>
    <s v="Texas"/>
    <x v="2"/>
    <x v="0"/>
    <x v="1"/>
    <s v="SAFCO Arco Folding Chair"/>
    <n v="1740.06"/>
    <n v="9"/>
    <n v="0.3"/>
    <n v="-24.86"/>
  </r>
  <r>
    <x v="78"/>
    <x v="2"/>
    <x v="8"/>
    <d v="2011-12-09T00:00:00"/>
    <n v="4"/>
    <x v="1"/>
    <s v="Becky Martin"/>
    <x v="0"/>
    <s v="United States"/>
    <s v="San Antonio"/>
    <s v="Texas"/>
    <x v="2"/>
    <x v="1"/>
    <x v="6"/>
    <s v="Sanford Liquid Accent Highlighters"/>
    <n v="32.06"/>
    <n v="6"/>
    <n v="0.2"/>
    <n v="6.81"/>
  </r>
  <r>
    <x v="78"/>
    <x v="2"/>
    <x v="8"/>
    <d v="2011-12-09T00:00:00"/>
    <n v="4"/>
    <x v="1"/>
    <s v="Becky Martin"/>
    <x v="0"/>
    <s v="United States"/>
    <s v="San Antonio"/>
    <s v="Texas"/>
    <x v="2"/>
    <x v="1"/>
    <x v="9"/>
    <s v="Kensington 7 Outlet MasterPiece Power Center"/>
    <n v="177.98"/>
    <n v="5"/>
    <n v="0.8"/>
    <n v="-453.85"/>
  </r>
  <r>
    <x v="78"/>
    <x v="2"/>
    <x v="8"/>
    <d v="2011-12-09T00:00:00"/>
    <n v="4"/>
    <x v="1"/>
    <s v="Becky Martin"/>
    <x v="0"/>
    <s v="United States"/>
    <s v="San Antonio"/>
    <s v="Texas"/>
    <x v="2"/>
    <x v="2"/>
    <x v="7"/>
    <s v="JBL Micro Wireless Portable Bluetooth Speaker"/>
    <n v="143.97999999999999"/>
    <n v="3"/>
    <n v="0.2"/>
    <n v="9"/>
  </r>
  <r>
    <x v="79"/>
    <x v="2"/>
    <x v="6"/>
    <d v="2011-09-08T00:00:00"/>
    <n v="4"/>
    <x v="1"/>
    <s v="Chad Sievert"/>
    <x v="0"/>
    <s v="United States"/>
    <s v="Los Angeles"/>
    <s v="California"/>
    <x v="1"/>
    <x v="1"/>
    <x v="10"/>
    <s v="Adams Phone Message Book, Professional, 400 Message Capacity, 5 3/6” x 11”"/>
    <n v="20.94"/>
    <n v="3"/>
    <n v="0"/>
    <n v="9.84"/>
  </r>
  <r>
    <x v="79"/>
    <x v="2"/>
    <x v="6"/>
    <d v="2011-09-08T00:00:00"/>
    <n v="4"/>
    <x v="1"/>
    <s v="Chad Sievert"/>
    <x v="0"/>
    <s v="United States"/>
    <s v="Los Angeles"/>
    <s v="California"/>
    <x v="1"/>
    <x v="1"/>
    <x v="10"/>
    <s v="Xerox 1913"/>
    <n v="110.96"/>
    <n v="2"/>
    <n v="0"/>
    <n v="53.26"/>
  </r>
  <r>
    <x v="79"/>
    <x v="2"/>
    <x v="6"/>
    <d v="2011-09-08T00:00:00"/>
    <n v="4"/>
    <x v="1"/>
    <s v="Chad Sievert"/>
    <x v="0"/>
    <s v="United States"/>
    <s v="Los Angeles"/>
    <s v="California"/>
    <x v="1"/>
    <x v="0"/>
    <x v="1"/>
    <s v="Global Value Steno Chair, Gray"/>
    <n v="340.14"/>
    <n v="7"/>
    <n v="0.2"/>
    <n v="21.26"/>
  </r>
  <r>
    <x v="80"/>
    <x v="2"/>
    <x v="8"/>
    <s v="19-09-2011"/>
    <n v="5"/>
    <x v="1"/>
    <s v="Jennifer Braxton"/>
    <x v="1"/>
    <s v="United States"/>
    <s v="Chicago"/>
    <s v="Illinois"/>
    <x v="2"/>
    <x v="1"/>
    <x v="9"/>
    <s v="Kensington 7 Outlet MasterPiece HOMEOFFICE Power Control Center"/>
    <n v="52.45"/>
    <n v="2"/>
    <n v="0.8"/>
    <n v="-131.12"/>
  </r>
  <r>
    <x v="80"/>
    <x v="2"/>
    <x v="8"/>
    <s v="19-09-2011"/>
    <n v="5"/>
    <x v="1"/>
    <s v="Jennifer Braxton"/>
    <x v="1"/>
    <s v="United States"/>
    <s v="Chicago"/>
    <s v="Illinois"/>
    <x v="2"/>
    <x v="1"/>
    <x v="2"/>
    <s v="Avery 51"/>
    <n v="20.16"/>
    <n v="4"/>
    <n v="0.2"/>
    <n v="6.55"/>
  </r>
  <r>
    <x v="81"/>
    <x v="3"/>
    <x v="3"/>
    <s v="26-04-2014"/>
    <n v="4"/>
    <x v="0"/>
    <s v="Shirley Jackson"/>
    <x v="0"/>
    <s v="United States"/>
    <s v="Houston"/>
    <s v="Texas"/>
    <x v="2"/>
    <x v="1"/>
    <x v="9"/>
    <s v="Acco 7-Outlet Masterpiece Power Center, Wihtout Fax/Phone Line Protection"/>
    <n v="97.26"/>
    <n v="4"/>
    <n v="0.8"/>
    <n v="-243.16"/>
  </r>
  <r>
    <x v="82"/>
    <x v="1"/>
    <x v="0"/>
    <s v="23-11-2012"/>
    <n v="2"/>
    <x v="0"/>
    <s v="Joel Eaton"/>
    <x v="0"/>
    <s v="United States"/>
    <s v="Newark"/>
    <s v="Ohio"/>
    <x v="3"/>
    <x v="0"/>
    <x v="1"/>
    <s v="Padded Folding Chairs, Black, 4/Carton"/>
    <n v="396.8"/>
    <n v="7"/>
    <n v="0.3"/>
    <n v="-11.34"/>
  </r>
  <r>
    <x v="82"/>
    <x v="1"/>
    <x v="0"/>
    <s v="23-11-2012"/>
    <n v="2"/>
    <x v="0"/>
    <s v="Joel Eaton"/>
    <x v="0"/>
    <s v="United States"/>
    <s v="Newark"/>
    <s v="Ohio"/>
    <x v="3"/>
    <x v="1"/>
    <x v="14"/>
    <s v="Acme Rosewood Handle Letter Opener"/>
    <n v="15.88"/>
    <n v="5"/>
    <n v="0.2"/>
    <n v="-3.77"/>
  </r>
  <r>
    <x v="83"/>
    <x v="1"/>
    <x v="4"/>
    <s v="19-12-2012"/>
    <n v="4"/>
    <x v="1"/>
    <s v="Jim Kriz"/>
    <x v="2"/>
    <s v="United States"/>
    <s v="New York City"/>
    <s v="New York"/>
    <x v="3"/>
    <x v="1"/>
    <x v="6"/>
    <s v="Sanford Colorific Eraseable Coloring Pencils, 12 Count"/>
    <n v="3.28"/>
    <n v="1"/>
    <n v="0"/>
    <n v="1.41"/>
  </r>
  <r>
    <x v="29"/>
    <x v="2"/>
    <x v="4"/>
    <d v="2011-09-12T00:00:00"/>
    <n v="4"/>
    <x v="0"/>
    <s v="David Kendrick"/>
    <x v="1"/>
    <s v="United States"/>
    <s v="Decatur"/>
    <s v="Illinois"/>
    <x v="2"/>
    <x v="1"/>
    <x v="4"/>
    <s v="Tenex File Box, Personal Filing Tote with Lid, Black"/>
    <n v="24.82"/>
    <n v="2"/>
    <n v="0.2"/>
    <n v="1.86"/>
  </r>
  <r>
    <x v="29"/>
    <x v="2"/>
    <x v="4"/>
    <d v="2011-09-12T00:00:00"/>
    <n v="4"/>
    <x v="0"/>
    <s v="David Kendrick"/>
    <x v="1"/>
    <s v="United States"/>
    <s v="Decatur"/>
    <s v="Illinois"/>
    <x v="2"/>
    <x v="2"/>
    <x v="11"/>
    <s v="Imation Secure+ Hardware Encrypted USB 2.0 Flash Drive; 16GB"/>
    <n v="408.74"/>
    <n v="7"/>
    <n v="0.2"/>
    <n v="76.64"/>
  </r>
  <r>
    <x v="84"/>
    <x v="2"/>
    <x v="0"/>
    <s v="24-11-2011"/>
    <n v="5"/>
    <x v="0"/>
    <s v="Robert Marley"/>
    <x v="2"/>
    <s v="United States"/>
    <s v="Monroe"/>
    <s v="Louisiana"/>
    <x v="0"/>
    <x v="2"/>
    <x v="7"/>
    <s v="AT&amp;T TR1909W"/>
    <n v="503.96"/>
    <n v="4"/>
    <n v="0"/>
    <n v="131.03"/>
  </r>
  <r>
    <x v="84"/>
    <x v="2"/>
    <x v="0"/>
    <s v="24-11-2011"/>
    <n v="5"/>
    <x v="0"/>
    <s v="Robert Marley"/>
    <x v="2"/>
    <s v="United States"/>
    <s v="Monroe"/>
    <s v="Louisiana"/>
    <x v="0"/>
    <x v="2"/>
    <x v="7"/>
    <s v="Nokia Lumia 521 (T-Mobile)"/>
    <n v="149.94999999999999"/>
    <n v="5"/>
    <n v="0"/>
    <n v="41.99"/>
  </r>
  <r>
    <x v="84"/>
    <x v="2"/>
    <x v="0"/>
    <s v="24-11-2011"/>
    <n v="5"/>
    <x v="0"/>
    <s v="Robert Marley"/>
    <x v="2"/>
    <s v="United States"/>
    <s v="Monroe"/>
    <s v="Louisiana"/>
    <x v="0"/>
    <x v="2"/>
    <x v="11"/>
    <s v="HP Standard 104 key PS/2 Keyboard"/>
    <n v="29"/>
    <n v="2"/>
    <n v="0"/>
    <n v="7.25"/>
  </r>
  <r>
    <x v="85"/>
    <x v="0"/>
    <x v="0"/>
    <d v="2013-03-12T00:00:00"/>
    <n v="4"/>
    <x v="1"/>
    <s v="Sally Knutson"/>
    <x v="0"/>
    <s v="United States"/>
    <s v="Fairfield"/>
    <s v="Connecticut"/>
    <x v="3"/>
    <x v="1"/>
    <x v="8"/>
    <s v="Avery Poly Binder Pockets"/>
    <n v="7.16"/>
    <n v="2"/>
    <n v="0"/>
    <n v="3.44"/>
  </r>
  <r>
    <x v="86"/>
    <x v="2"/>
    <x v="6"/>
    <s v="30-08-2011"/>
    <n v="4"/>
    <x v="1"/>
    <s v="Frank Merwin"/>
    <x v="2"/>
    <s v="United States"/>
    <s v="Los Angeles"/>
    <s v="California"/>
    <x v="1"/>
    <x v="2"/>
    <x v="11"/>
    <s v="SanDisk Ultra 32 GB MicroSDHC Class 10 Memory Card"/>
    <n v="176.8"/>
    <n v="8"/>
    <n v="0"/>
    <n v="22.98"/>
  </r>
  <r>
    <x v="87"/>
    <x v="0"/>
    <x v="7"/>
    <s v="23-07-2013"/>
    <n v="6"/>
    <x v="1"/>
    <s v="Alice McCarthy"/>
    <x v="1"/>
    <s v="United States"/>
    <s v="Grand Prairie"/>
    <s v="Texas"/>
    <x v="2"/>
    <x v="1"/>
    <x v="4"/>
    <s v="Personal Filing Tote with Lid, Black/Gray"/>
    <n v="37.22"/>
    <n v="3"/>
    <n v="0.2"/>
    <n v="3.72"/>
  </r>
  <r>
    <x v="87"/>
    <x v="0"/>
    <x v="7"/>
    <s v="23-07-2013"/>
    <n v="6"/>
    <x v="1"/>
    <s v="Alice McCarthy"/>
    <x v="1"/>
    <s v="United States"/>
    <s v="Grand Prairie"/>
    <s v="Texas"/>
    <x v="2"/>
    <x v="1"/>
    <x v="10"/>
    <s v="Southworth 25% Cotton Antique Laid Paper &amp; Envelopes"/>
    <n v="20.02"/>
    <n v="3"/>
    <n v="0.2"/>
    <n v="6.26"/>
  </r>
  <r>
    <x v="88"/>
    <x v="1"/>
    <x v="2"/>
    <s v="14-10-2012"/>
    <n v="2"/>
    <x v="2"/>
    <s v="Mark Packer"/>
    <x v="2"/>
    <s v="United States"/>
    <s v="New York City"/>
    <s v="New York"/>
    <x v="3"/>
    <x v="0"/>
    <x v="0"/>
    <s v="Atlantic Metals Mobile 4-Shelf Bookcases, Custom Colors"/>
    <n v="899.14"/>
    <n v="4"/>
    <n v="0.2"/>
    <n v="112.39"/>
  </r>
  <r>
    <x v="88"/>
    <x v="1"/>
    <x v="2"/>
    <s v="14-10-2012"/>
    <n v="2"/>
    <x v="2"/>
    <s v="Mark Packer"/>
    <x v="2"/>
    <s v="United States"/>
    <s v="New York City"/>
    <s v="New York"/>
    <x v="3"/>
    <x v="2"/>
    <x v="7"/>
    <s v="I Need's 3d Hello Kitty Hybrid Silicone Case Cover for HTC One X 4g with 3d Hello Kitty Stylus Pen Green/pink"/>
    <n v="71.760000000000005"/>
    <n v="6"/>
    <n v="0"/>
    <n v="20.09"/>
  </r>
  <r>
    <x v="88"/>
    <x v="1"/>
    <x v="2"/>
    <s v="14-10-2012"/>
    <n v="2"/>
    <x v="2"/>
    <s v="Mark Packer"/>
    <x v="2"/>
    <s v="United States"/>
    <s v="New York City"/>
    <s v="New York"/>
    <x v="3"/>
    <x v="1"/>
    <x v="10"/>
    <s v="Xerox 205"/>
    <n v="51.84"/>
    <n v="8"/>
    <n v="0"/>
    <n v="24.88"/>
  </r>
  <r>
    <x v="88"/>
    <x v="1"/>
    <x v="2"/>
    <s v="14-10-2012"/>
    <n v="2"/>
    <x v="2"/>
    <s v="Mark Packer"/>
    <x v="2"/>
    <s v="United States"/>
    <s v="New York City"/>
    <s v="New York"/>
    <x v="3"/>
    <x v="0"/>
    <x v="0"/>
    <s v="Atlantic Metals Mobile 3-Shelf Bookcases, Custom Colors"/>
    <n v="626.35"/>
    <n v="3"/>
    <n v="0.2"/>
    <n v="46.98"/>
  </r>
  <r>
    <x v="88"/>
    <x v="1"/>
    <x v="2"/>
    <s v="14-10-2012"/>
    <n v="2"/>
    <x v="2"/>
    <s v="Mark Packer"/>
    <x v="2"/>
    <s v="United States"/>
    <s v="New York City"/>
    <s v="New York"/>
    <x v="3"/>
    <x v="1"/>
    <x v="6"/>
    <s v="4009 Highlighters by Sanford"/>
    <n v="19.899999999999999"/>
    <n v="5"/>
    <n v="0"/>
    <n v="6.57"/>
  </r>
  <r>
    <x v="89"/>
    <x v="1"/>
    <x v="2"/>
    <d v="2012-06-11T00:00:00"/>
    <n v="6"/>
    <x v="1"/>
    <s v="Mary Zewe"/>
    <x v="1"/>
    <s v="United States"/>
    <s v="Redlands"/>
    <s v="California"/>
    <x v="1"/>
    <x v="1"/>
    <x v="12"/>
    <s v="Poly String Tie Envelopes"/>
    <n v="14.28"/>
    <n v="7"/>
    <n v="0"/>
    <n v="6.71"/>
  </r>
  <r>
    <x v="90"/>
    <x v="2"/>
    <x v="10"/>
    <s v="25-03-2011"/>
    <n v="4"/>
    <x v="1"/>
    <s v="Cassandra Brandow"/>
    <x v="0"/>
    <s v="United States"/>
    <s v="Hamilton"/>
    <s v="Ohio"/>
    <x v="3"/>
    <x v="1"/>
    <x v="6"/>
    <s v="Binney &amp; Smith Crayola Metallic Colored Pencils, 8-Color Set"/>
    <n v="7.41"/>
    <n v="2"/>
    <n v="0.2"/>
    <n v="1.2"/>
  </r>
  <r>
    <x v="90"/>
    <x v="2"/>
    <x v="10"/>
    <s v="25-03-2011"/>
    <n v="4"/>
    <x v="1"/>
    <s v="Cassandra Brandow"/>
    <x v="0"/>
    <s v="United States"/>
    <s v="Hamilton"/>
    <s v="Ohio"/>
    <x v="3"/>
    <x v="1"/>
    <x v="6"/>
    <s v="Binney &amp; Smith inkTank Erasable Desk Highlighter, Chisel Tip, Yellow, 12/Box"/>
    <n v="6.05"/>
    <n v="3"/>
    <n v="0.2"/>
    <n v="1.59"/>
  </r>
  <r>
    <x v="44"/>
    <x v="3"/>
    <x v="0"/>
    <s v="14-11-2014"/>
    <n v="7"/>
    <x v="1"/>
    <s v="Valerie Mitchum"/>
    <x v="2"/>
    <s v="United States"/>
    <s v="Westfield"/>
    <s v="New Jersey"/>
    <x v="3"/>
    <x v="1"/>
    <x v="4"/>
    <s v="Decoflex Hanging Personal Folder File"/>
    <n v="46.26"/>
    <n v="3"/>
    <n v="0"/>
    <n v="12.03"/>
  </r>
  <r>
    <x v="91"/>
    <x v="3"/>
    <x v="7"/>
    <s v="14-07-2014"/>
    <n v="7"/>
    <x v="1"/>
    <s v="Fred Hopkins"/>
    <x v="1"/>
    <s v="United States"/>
    <s v="Philadelphia"/>
    <s v="Pennsylvania"/>
    <x v="3"/>
    <x v="1"/>
    <x v="8"/>
    <s v="Pressboard Covers with Storage Hooks, 9 1/2&quot; x 11&quot;, Light Blue"/>
    <n v="2.95"/>
    <n v="2"/>
    <n v="0.7"/>
    <n v="-2.2599999999999998"/>
  </r>
  <r>
    <x v="91"/>
    <x v="3"/>
    <x v="7"/>
    <s v="14-07-2014"/>
    <n v="7"/>
    <x v="1"/>
    <s v="Fred Hopkins"/>
    <x v="1"/>
    <s v="United States"/>
    <s v="Philadelphia"/>
    <s v="Pennsylvania"/>
    <x v="3"/>
    <x v="1"/>
    <x v="10"/>
    <s v="Wirebound Message Books, 5-1/2 x 4 Forms, 2 or 4 Forms per Page"/>
    <n v="16.059999999999999"/>
    <n v="3"/>
    <n v="0.2"/>
    <n v="5.82"/>
  </r>
  <r>
    <x v="92"/>
    <x v="3"/>
    <x v="1"/>
    <s v="30-06-2014"/>
    <n v="5"/>
    <x v="1"/>
    <s v="Maria Bertelson"/>
    <x v="0"/>
    <s v="United States"/>
    <s v="Akron"/>
    <s v="Ohio"/>
    <x v="3"/>
    <x v="1"/>
    <x v="10"/>
    <s v="Southworth 25% Cotton Linen-Finish Paper &amp; Envelopes"/>
    <n v="21.74"/>
    <n v="3"/>
    <n v="0.2"/>
    <n v="6.8"/>
  </r>
  <r>
    <x v="93"/>
    <x v="2"/>
    <x v="6"/>
    <d v="2011-05-08T00:00:00"/>
    <n v="2"/>
    <x v="2"/>
    <s v="Bruce Stewart"/>
    <x v="0"/>
    <s v="United States"/>
    <s v="Denver"/>
    <s v="Colorado"/>
    <x v="1"/>
    <x v="0"/>
    <x v="3"/>
    <s v="BoxOffice By Design Rectangular and Half-Moon Meeting Room Tables"/>
    <n v="218.75"/>
    <n v="2"/>
    <n v="0.5"/>
    <n v="-161.88"/>
  </r>
  <r>
    <x v="93"/>
    <x v="2"/>
    <x v="6"/>
    <d v="2011-05-08T00:00:00"/>
    <n v="2"/>
    <x v="2"/>
    <s v="Bruce Stewart"/>
    <x v="0"/>
    <s v="United States"/>
    <s v="Denver"/>
    <s v="Colorado"/>
    <x v="1"/>
    <x v="1"/>
    <x v="9"/>
    <s v="Bravo II Megaboss 12-Amp Hard Body Upright, Replacement Belts, 2 Belts per Pack"/>
    <n v="2.6"/>
    <n v="1"/>
    <n v="0.2"/>
    <n v="0.28999999999999998"/>
  </r>
  <r>
    <x v="94"/>
    <x v="3"/>
    <x v="4"/>
    <s v="22-12-2014"/>
    <n v="4"/>
    <x v="0"/>
    <s v="Logan Currie"/>
    <x v="0"/>
    <s v="United States"/>
    <s v="Dallas"/>
    <s v="Texas"/>
    <x v="2"/>
    <x v="1"/>
    <x v="9"/>
    <s v="Eureka Sanitaire  Commercial Upright"/>
    <n v="66.28"/>
    <n v="2"/>
    <n v="0.8"/>
    <n v="-178.97"/>
  </r>
  <r>
    <x v="95"/>
    <x v="3"/>
    <x v="1"/>
    <d v="2014-08-06T00:00:00"/>
    <n v="4"/>
    <x v="1"/>
    <s v="Heather Kirkland"/>
    <x v="1"/>
    <s v="United States"/>
    <s v="Franklin"/>
    <s v="Tennessee"/>
    <x v="0"/>
    <x v="0"/>
    <x v="5"/>
    <s v="Eldon 200 Class Desk Accessories, Burgundy"/>
    <n v="35.17"/>
    <n v="7"/>
    <n v="0.2"/>
    <n v="9.67"/>
  </r>
  <r>
    <x v="34"/>
    <x v="3"/>
    <x v="4"/>
    <s v="15-12-2014"/>
    <n v="5"/>
    <x v="1"/>
    <s v="Laurel Elliston"/>
    <x v="0"/>
    <s v="United States"/>
    <s v="Whittier"/>
    <s v="California"/>
    <x v="1"/>
    <x v="2"/>
    <x v="7"/>
    <s v="Nortel Business Series Terminal T7208 Digital phone"/>
    <n v="444.77"/>
    <n v="4"/>
    <n v="0.2"/>
    <n v="44.48"/>
  </r>
  <r>
    <x v="96"/>
    <x v="3"/>
    <x v="4"/>
    <d v="2014-08-12T00:00:00"/>
    <n v="6"/>
    <x v="1"/>
    <s v="Joseph Holt"/>
    <x v="0"/>
    <s v="United States"/>
    <s v="Saginaw"/>
    <s v="Michigan"/>
    <x v="2"/>
    <x v="1"/>
    <x v="4"/>
    <s v="Tennsco Lockers, Gray"/>
    <n v="83.92"/>
    <n v="4"/>
    <n v="0"/>
    <n v="5.87"/>
  </r>
  <r>
    <x v="96"/>
    <x v="3"/>
    <x v="4"/>
    <d v="2014-08-12T00:00:00"/>
    <n v="6"/>
    <x v="1"/>
    <s v="Joseph Holt"/>
    <x v="0"/>
    <s v="United States"/>
    <s v="Saginaw"/>
    <s v="Michigan"/>
    <x v="2"/>
    <x v="2"/>
    <x v="7"/>
    <s v="Panasonic KX-TG6844B Expandable Digital Cordless Telephone"/>
    <n v="131.97999999999999"/>
    <n v="2"/>
    <n v="0"/>
    <n v="35.630000000000003"/>
  </r>
  <r>
    <x v="96"/>
    <x v="3"/>
    <x v="4"/>
    <d v="2014-08-12T00:00:00"/>
    <n v="6"/>
    <x v="1"/>
    <s v="Joseph Holt"/>
    <x v="0"/>
    <s v="United States"/>
    <s v="Saginaw"/>
    <s v="Michigan"/>
    <x v="2"/>
    <x v="1"/>
    <x v="8"/>
    <s v="Avery Durable Slant Ring Binders, No Labels"/>
    <n v="15.92"/>
    <n v="4"/>
    <n v="0"/>
    <n v="7.48"/>
  </r>
  <r>
    <x v="96"/>
    <x v="3"/>
    <x v="4"/>
    <d v="2014-08-12T00:00:00"/>
    <n v="6"/>
    <x v="1"/>
    <s v="Joseph Holt"/>
    <x v="0"/>
    <s v="United States"/>
    <s v="Saginaw"/>
    <s v="Michigan"/>
    <x v="2"/>
    <x v="1"/>
    <x v="13"/>
    <s v="Advantus Push Pins, Aluminum Head"/>
    <n v="52.29"/>
    <n v="9"/>
    <n v="0"/>
    <n v="16.21"/>
  </r>
  <r>
    <x v="96"/>
    <x v="3"/>
    <x v="4"/>
    <d v="2014-08-12T00:00:00"/>
    <n v="6"/>
    <x v="1"/>
    <s v="Joseph Holt"/>
    <x v="0"/>
    <s v="United States"/>
    <s v="Saginaw"/>
    <s v="Michigan"/>
    <x v="2"/>
    <x v="1"/>
    <x v="4"/>
    <s v="Gould Plastics 18-Pocket Panel Bin, 34w x 5-1/4d x 20-1/2h"/>
    <n v="91.99"/>
    <n v="1"/>
    <n v="0"/>
    <n v="3.68"/>
  </r>
  <r>
    <x v="97"/>
    <x v="1"/>
    <x v="11"/>
    <s v="13-02-2012"/>
    <n v="4"/>
    <x v="0"/>
    <s v="Michael Stewart"/>
    <x v="1"/>
    <s v="United States"/>
    <s v="Dallas"/>
    <s v="Texas"/>
    <x v="2"/>
    <x v="2"/>
    <x v="11"/>
    <s v="Memorex Micro Travel Drive 8 GB"/>
    <n v="20.8"/>
    <n v="2"/>
    <n v="0.2"/>
    <n v="6.5"/>
  </r>
  <r>
    <x v="98"/>
    <x v="1"/>
    <x v="9"/>
    <d v="2012-09-01T00:00:00"/>
    <n v="7"/>
    <x v="1"/>
    <s v="Victoria Wilson"/>
    <x v="1"/>
    <s v="United States"/>
    <s v="Medina"/>
    <s v="Ohio"/>
    <x v="3"/>
    <x v="1"/>
    <x v="2"/>
    <s v="Avery 505"/>
    <n v="23.68"/>
    <n v="2"/>
    <n v="0.2"/>
    <n v="8.8800000000000008"/>
  </r>
  <r>
    <x v="98"/>
    <x v="1"/>
    <x v="9"/>
    <d v="2012-09-01T00:00:00"/>
    <n v="7"/>
    <x v="1"/>
    <s v="Victoria Wilson"/>
    <x v="1"/>
    <s v="United States"/>
    <s v="Medina"/>
    <s v="Ohio"/>
    <x v="3"/>
    <x v="0"/>
    <x v="0"/>
    <s v="O'Sullivan 2-Door Barrister Bookcase in Odessa Pine"/>
    <n v="452.45"/>
    <n v="5"/>
    <n v="0.5"/>
    <n v="-244.32"/>
  </r>
  <r>
    <x v="98"/>
    <x v="1"/>
    <x v="9"/>
    <d v="2012-09-01T00:00:00"/>
    <n v="7"/>
    <x v="1"/>
    <s v="Victoria Wilson"/>
    <x v="1"/>
    <s v="United States"/>
    <s v="Medina"/>
    <s v="Ohio"/>
    <x v="3"/>
    <x v="2"/>
    <x v="7"/>
    <s v="Speck Products Candyshell Flip Case"/>
    <n v="62.98"/>
    <n v="3"/>
    <n v="0.4"/>
    <n v="-14.7"/>
  </r>
  <r>
    <x v="98"/>
    <x v="1"/>
    <x v="9"/>
    <d v="2012-09-01T00:00:00"/>
    <n v="7"/>
    <x v="1"/>
    <s v="Victoria Wilson"/>
    <x v="1"/>
    <s v="United States"/>
    <s v="Medina"/>
    <s v="Ohio"/>
    <x v="3"/>
    <x v="2"/>
    <x v="15"/>
    <s v="Cisco 9971 IP Video Phone Charcoal"/>
    <n v="1188"/>
    <n v="9"/>
    <n v="0.7"/>
    <n v="-950.4"/>
  </r>
  <r>
    <x v="98"/>
    <x v="1"/>
    <x v="9"/>
    <d v="2012-09-01T00:00:00"/>
    <n v="7"/>
    <x v="1"/>
    <s v="Victoria Wilson"/>
    <x v="1"/>
    <s v="United States"/>
    <s v="Medina"/>
    <s v="Ohio"/>
    <x v="3"/>
    <x v="2"/>
    <x v="11"/>
    <s v="Sony Micro Vault Click 16 GB USB 2.0 Flash Drive"/>
    <n v="89.58"/>
    <n v="2"/>
    <n v="0.2"/>
    <n v="4.4800000000000004"/>
  </r>
  <r>
    <x v="99"/>
    <x v="0"/>
    <x v="2"/>
    <d v="2013-02-11T00:00:00"/>
    <n v="4"/>
    <x v="1"/>
    <s v="Jonathan Howell"/>
    <x v="0"/>
    <s v="United States"/>
    <s v="Los Angeles"/>
    <s v="California"/>
    <x v="1"/>
    <x v="1"/>
    <x v="4"/>
    <s v="Personal Filing Tote with Lid, Black/Gray"/>
    <n v="93.06"/>
    <n v="6"/>
    <n v="0"/>
    <n v="26.06"/>
  </r>
  <r>
    <x v="99"/>
    <x v="0"/>
    <x v="2"/>
    <d v="2013-02-11T00:00:00"/>
    <n v="4"/>
    <x v="1"/>
    <s v="Jonathan Howell"/>
    <x v="0"/>
    <s v="United States"/>
    <s v="Los Angeles"/>
    <s v="California"/>
    <x v="1"/>
    <x v="2"/>
    <x v="7"/>
    <s v="Adtran 1202752G1"/>
    <n v="302.38"/>
    <n v="3"/>
    <n v="0.2"/>
    <n v="22.68"/>
  </r>
  <r>
    <x v="100"/>
    <x v="1"/>
    <x v="4"/>
    <s v="27-12-2012"/>
    <n v="3"/>
    <x v="2"/>
    <s v="Joni Blumstein"/>
    <x v="0"/>
    <s v="United States"/>
    <s v="Dublin"/>
    <s v="Ohio"/>
    <x v="3"/>
    <x v="1"/>
    <x v="13"/>
    <s v="OIC Bulk Pack Metal Binder Clips"/>
    <n v="5.58"/>
    <n v="2"/>
    <n v="0.2"/>
    <n v="1.81"/>
  </r>
  <r>
    <x v="100"/>
    <x v="1"/>
    <x v="4"/>
    <s v="27-12-2012"/>
    <n v="3"/>
    <x v="2"/>
    <s v="Joni Blumstein"/>
    <x v="0"/>
    <s v="United States"/>
    <s v="Dublin"/>
    <s v="Ohio"/>
    <x v="3"/>
    <x v="1"/>
    <x v="10"/>
    <s v="While You Were Out Pads, 50 per Pad, 4 x 5 1/4, Green Cycle"/>
    <n v="22.7"/>
    <n v="6"/>
    <n v="0.2"/>
    <n v="8.23"/>
  </r>
  <r>
    <x v="100"/>
    <x v="1"/>
    <x v="4"/>
    <s v="27-12-2012"/>
    <n v="3"/>
    <x v="2"/>
    <s v="Joni Blumstein"/>
    <x v="0"/>
    <s v="United States"/>
    <s v="Dublin"/>
    <s v="Ohio"/>
    <x v="3"/>
    <x v="1"/>
    <x v="8"/>
    <s v="Ibico Standard Transparent Covers"/>
    <n v="19.78"/>
    <n v="4"/>
    <n v="0.7"/>
    <n v="-13.84"/>
  </r>
  <r>
    <x v="100"/>
    <x v="1"/>
    <x v="4"/>
    <s v="27-12-2012"/>
    <n v="3"/>
    <x v="2"/>
    <s v="Joni Blumstein"/>
    <x v="0"/>
    <s v="United States"/>
    <s v="Dublin"/>
    <s v="Ohio"/>
    <x v="3"/>
    <x v="0"/>
    <x v="5"/>
    <s v="Executive Impressions 14&quot; Two-Color Numerals Wall Clock"/>
    <n v="72.7"/>
    <n v="4"/>
    <n v="0.2"/>
    <n v="19.079999999999998"/>
  </r>
  <r>
    <x v="100"/>
    <x v="1"/>
    <x v="4"/>
    <s v="27-12-2012"/>
    <n v="3"/>
    <x v="2"/>
    <s v="Joni Blumstein"/>
    <x v="0"/>
    <s v="United States"/>
    <s v="Dublin"/>
    <s v="Ohio"/>
    <x v="3"/>
    <x v="2"/>
    <x v="15"/>
    <s v="Swingline SM12-08 MicroCut Jam Free Shredder"/>
    <n v="479.99"/>
    <n v="4"/>
    <n v="0.7"/>
    <n v="-383.99"/>
  </r>
  <r>
    <x v="100"/>
    <x v="1"/>
    <x v="4"/>
    <s v="27-12-2012"/>
    <n v="3"/>
    <x v="2"/>
    <s v="Joni Blumstein"/>
    <x v="0"/>
    <s v="United States"/>
    <s v="Dublin"/>
    <s v="Ohio"/>
    <x v="3"/>
    <x v="1"/>
    <x v="6"/>
    <s v="Stanley Bostitch Contemporary Electric Pencil Sharpeners"/>
    <n v="27.17"/>
    <n v="2"/>
    <n v="0.2"/>
    <n v="2.72"/>
  </r>
  <r>
    <x v="101"/>
    <x v="1"/>
    <x v="6"/>
    <s v="16-08-2012"/>
    <n v="7"/>
    <x v="1"/>
    <s v="David Smith"/>
    <x v="1"/>
    <s v="United States"/>
    <s v="Detroit"/>
    <s v="Michigan"/>
    <x v="2"/>
    <x v="1"/>
    <x v="6"/>
    <s v="Sanford Uni-Blazer View Highlighters, Chisel Tip, Yellow"/>
    <n v="2.2000000000000002"/>
    <n v="1"/>
    <n v="0"/>
    <n v="0.97"/>
  </r>
  <r>
    <x v="101"/>
    <x v="1"/>
    <x v="6"/>
    <s v="16-08-2012"/>
    <n v="7"/>
    <x v="1"/>
    <s v="David Smith"/>
    <x v="1"/>
    <s v="United States"/>
    <s v="Detroit"/>
    <s v="Michigan"/>
    <x v="2"/>
    <x v="0"/>
    <x v="3"/>
    <s v="Bevis 36 x 72 Conference Tables"/>
    <n v="622.45000000000005"/>
    <n v="5"/>
    <n v="0"/>
    <n v="136.94"/>
  </r>
  <r>
    <x v="101"/>
    <x v="1"/>
    <x v="6"/>
    <s v="16-08-2012"/>
    <n v="7"/>
    <x v="1"/>
    <s v="David Smith"/>
    <x v="1"/>
    <s v="United States"/>
    <s v="Detroit"/>
    <s v="Michigan"/>
    <x v="2"/>
    <x v="1"/>
    <x v="4"/>
    <s v="Rogers Deluxe File Chest"/>
    <n v="21.98"/>
    <n v="1"/>
    <n v="0"/>
    <n v="0.22"/>
  </r>
  <r>
    <x v="102"/>
    <x v="1"/>
    <x v="11"/>
    <d v="2012-04-03T00:00:00"/>
    <n v="5"/>
    <x v="1"/>
    <s v="Valerie Dominguez"/>
    <x v="0"/>
    <s v="United States"/>
    <s v="Columbia"/>
    <s v="Tennessee"/>
    <x v="0"/>
    <x v="0"/>
    <x v="1"/>
    <s v="Global Low Back Tilter Chair"/>
    <n v="161.57"/>
    <n v="2"/>
    <n v="0.2"/>
    <n v="-28.27"/>
  </r>
  <r>
    <x v="102"/>
    <x v="1"/>
    <x v="11"/>
    <d v="2012-04-03T00:00:00"/>
    <n v="5"/>
    <x v="1"/>
    <s v="Valerie Dominguez"/>
    <x v="0"/>
    <s v="United States"/>
    <s v="Columbia"/>
    <s v="Tennessee"/>
    <x v="0"/>
    <x v="0"/>
    <x v="1"/>
    <s v="Global Push Button Manager's Chair, Indigo"/>
    <n v="389.7"/>
    <n v="8"/>
    <n v="0.2"/>
    <n v="43.84"/>
  </r>
  <r>
    <x v="103"/>
    <x v="2"/>
    <x v="8"/>
    <s v="17-09-2011"/>
    <n v="4"/>
    <x v="1"/>
    <s v="Erin Ashbrook"/>
    <x v="1"/>
    <s v="United States"/>
    <s v="Charlotte"/>
    <s v="North Carolina"/>
    <x v="0"/>
    <x v="1"/>
    <x v="8"/>
    <s v="GBC Instant Index System for Binding Systems"/>
    <n v="18.649999999999999"/>
    <n v="7"/>
    <n v="0.7"/>
    <n v="-12.43"/>
  </r>
  <r>
    <x v="104"/>
    <x v="3"/>
    <x v="3"/>
    <s v="13-04-2014"/>
    <n v="5"/>
    <x v="1"/>
    <s v="Christopher Schild"/>
    <x v="2"/>
    <s v="United States"/>
    <s v="Tampa"/>
    <s v="Florida"/>
    <x v="0"/>
    <x v="0"/>
    <x v="3"/>
    <s v="Bush Advantage Collection Round Conference Table"/>
    <n v="233.86"/>
    <n v="2"/>
    <n v="0.45"/>
    <n v="-102.05"/>
  </r>
  <r>
    <x v="104"/>
    <x v="3"/>
    <x v="3"/>
    <s v="13-04-2014"/>
    <n v="5"/>
    <x v="1"/>
    <s v="Christopher Schild"/>
    <x v="2"/>
    <s v="United States"/>
    <s v="Tampa"/>
    <s v="Florida"/>
    <x v="0"/>
    <x v="0"/>
    <x v="3"/>
    <s v="Bretford Rectangular Conference Table Tops"/>
    <n v="620.61"/>
    <n v="3"/>
    <n v="0.45"/>
    <n v="-248.25"/>
  </r>
  <r>
    <x v="104"/>
    <x v="3"/>
    <x v="3"/>
    <s v="13-04-2014"/>
    <n v="5"/>
    <x v="1"/>
    <s v="Christopher Schild"/>
    <x v="2"/>
    <s v="United States"/>
    <s v="Tampa"/>
    <s v="Florida"/>
    <x v="0"/>
    <x v="1"/>
    <x v="8"/>
    <s v="GBC Instant Index System for Binding Systems"/>
    <n v="5.33"/>
    <n v="2"/>
    <n v="0.7"/>
    <n v="-3.55"/>
  </r>
  <r>
    <x v="104"/>
    <x v="3"/>
    <x v="3"/>
    <s v="13-04-2014"/>
    <n v="5"/>
    <x v="1"/>
    <s v="Christopher Schild"/>
    <x v="2"/>
    <s v="United States"/>
    <s v="Tampa"/>
    <s v="Florida"/>
    <x v="0"/>
    <x v="0"/>
    <x v="5"/>
    <s v="Tenex Contemporary Contur Chairmats for Low and Medium Pile Carpet, Computer, 39&quot; x 49&quot;"/>
    <n v="258.07"/>
    <n v="3"/>
    <n v="0.2"/>
    <n v="0"/>
  </r>
  <r>
    <x v="104"/>
    <x v="3"/>
    <x v="3"/>
    <s v="13-04-2014"/>
    <n v="5"/>
    <x v="1"/>
    <s v="Christopher Schild"/>
    <x v="2"/>
    <s v="United States"/>
    <s v="Tampa"/>
    <s v="Florida"/>
    <x v="0"/>
    <x v="2"/>
    <x v="11"/>
    <s v="Logitech P710e Mobile Speakerphone"/>
    <n v="617.98"/>
    <n v="3"/>
    <n v="0.2"/>
    <n v="-7.72"/>
  </r>
  <r>
    <x v="105"/>
    <x v="3"/>
    <x v="0"/>
    <s v="17-11-2014"/>
    <n v="4"/>
    <x v="1"/>
    <s v="David Bremer"/>
    <x v="1"/>
    <s v="United States"/>
    <s v="Santa Clara"/>
    <s v="California"/>
    <x v="1"/>
    <x v="1"/>
    <x v="10"/>
    <s v="Xerox 4200 Series MultiUse Premium Copy Paper (20Lb. and 84 Bright)"/>
    <n v="10.56"/>
    <n v="2"/>
    <n v="0"/>
    <n v="4.75"/>
  </r>
  <r>
    <x v="30"/>
    <x v="0"/>
    <x v="1"/>
    <d v="2013-10-06T00:00:00"/>
    <n v="5"/>
    <x v="0"/>
    <s v="Ken Lonsdale"/>
    <x v="0"/>
    <s v="United States"/>
    <s v="Chicago"/>
    <s v="Illinois"/>
    <x v="2"/>
    <x v="1"/>
    <x v="10"/>
    <s v="Xerox 1957"/>
    <n v="25.92"/>
    <n v="5"/>
    <n v="0.2"/>
    <n v="9.4"/>
  </r>
  <r>
    <x v="30"/>
    <x v="0"/>
    <x v="1"/>
    <d v="2013-10-06T00:00:00"/>
    <n v="5"/>
    <x v="0"/>
    <s v="Ken Lonsdale"/>
    <x v="0"/>
    <s v="United States"/>
    <s v="Chicago"/>
    <s v="Illinois"/>
    <x v="2"/>
    <x v="0"/>
    <x v="5"/>
    <s v="Luxo Professional Fluorescent Magnifier Lamp with Clamp-Mount Base"/>
    <n v="419.68"/>
    <n v="5"/>
    <n v="0.6"/>
    <n v="-356.73"/>
  </r>
  <r>
    <x v="30"/>
    <x v="0"/>
    <x v="1"/>
    <d v="2013-10-06T00:00:00"/>
    <n v="5"/>
    <x v="0"/>
    <s v="Ken Lonsdale"/>
    <x v="0"/>
    <s v="United States"/>
    <s v="Chicago"/>
    <s v="Illinois"/>
    <x v="2"/>
    <x v="0"/>
    <x v="5"/>
    <s v="Staples"/>
    <n v="11.69"/>
    <n v="3"/>
    <n v="0.6"/>
    <n v="-4.68"/>
  </r>
  <r>
    <x v="30"/>
    <x v="0"/>
    <x v="1"/>
    <d v="2013-10-06T00:00:00"/>
    <n v="5"/>
    <x v="0"/>
    <s v="Ken Lonsdale"/>
    <x v="0"/>
    <s v="United States"/>
    <s v="Chicago"/>
    <s v="Illinois"/>
    <x v="2"/>
    <x v="2"/>
    <x v="7"/>
    <s v="PureGear Roll-On Screen Protector"/>
    <n v="31.98"/>
    <n v="2"/>
    <n v="0.2"/>
    <n v="11.19"/>
  </r>
  <r>
    <x v="30"/>
    <x v="0"/>
    <x v="1"/>
    <d v="2013-10-06T00:00:00"/>
    <n v="5"/>
    <x v="0"/>
    <s v="Ken Lonsdale"/>
    <x v="0"/>
    <s v="United States"/>
    <s v="Chicago"/>
    <s v="Illinois"/>
    <x v="2"/>
    <x v="0"/>
    <x v="3"/>
    <s v="KI Conference Tables"/>
    <n v="177.23"/>
    <n v="5"/>
    <n v="0.5"/>
    <n v="-120.51"/>
  </r>
  <r>
    <x v="30"/>
    <x v="0"/>
    <x v="1"/>
    <d v="2013-10-06T00:00:00"/>
    <n v="5"/>
    <x v="0"/>
    <s v="Ken Lonsdale"/>
    <x v="0"/>
    <s v="United States"/>
    <s v="Chicago"/>
    <s v="Illinois"/>
    <x v="2"/>
    <x v="0"/>
    <x v="5"/>
    <s v="Eldon 100 Class Desk Accessories"/>
    <n v="4.04"/>
    <n v="3"/>
    <n v="0.6"/>
    <n v="-2.83"/>
  </r>
  <r>
    <x v="30"/>
    <x v="0"/>
    <x v="1"/>
    <d v="2013-10-06T00:00:00"/>
    <n v="5"/>
    <x v="0"/>
    <s v="Ken Lonsdale"/>
    <x v="0"/>
    <s v="United States"/>
    <s v="Chicago"/>
    <s v="Illinois"/>
    <x v="2"/>
    <x v="1"/>
    <x v="6"/>
    <s v="Binney &amp; Smith Crayola Metallic Colored Pencils, 8-Color Set"/>
    <n v="7.41"/>
    <n v="2"/>
    <n v="0.2"/>
    <n v="1.2"/>
  </r>
  <r>
    <x v="106"/>
    <x v="2"/>
    <x v="1"/>
    <d v="2011-06-06T00:00:00"/>
    <n v="5"/>
    <x v="0"/>
    <s v="Dianna Wilson"/>
    <x v="2"/>
    <s v="United States"/>
    <s v="Lakeville"/>
    <s v="Minnesota"/>
    <x v="2"/>
    <x v="0"/>
    <x v="1"/>
    <s v="Global Deluxe High-Back Manager's Chair"/>
    <n v="2001.86"/>
    <n v="7"/>
    <n v="0"/>
    <n v="580.54"/>
  </r>
  <r>
    <x v="106"/>
    <x v="2"/>
    <x v="1"/>
    <d v="2011-06-06T00:00:00"/>
    <n v="5"/>
    <x v="0"/>
    <s v="Dianna Wilson"/>
    <x v="2"/>
    <s v="United States"/>
    <s v="Lakeville"/>
    <s v="Minnesota"/>
    <x v="2"/>
    <x v="1"/>
    <x v="4"/>
    <s v="Safco Steel Mobile File Cart"/>
    <n v="166.72"/>
    <n v="2"/>
    <n v="0"/>
    <n v="41.68"/>
  </r>
  <r>
    <x v="106"/>
    <x v="2"/>
    <x v="1"/>
    <d v="2011-06-06T00:00:00"/>
    <n v="5"/>
    <x v="0"/>
    <s v="Dianna Wilson"/>
    <x v="2"/>
    <s v="United States"/>
    <s v="Lakeville"/>
    <s v="Minnesota"/>
    <x v="2"/>
    <x v="1"/>
    <x v="10"/>
    <s v="Adams Telephone Message Book w/Frequently-Called Numbers Space, 400 Messages per Book"/>
    <n v="47.88"/>
    <n v="6"/>
    <n v="0"/>
    <n v="23.94"/>
  </r>
  <r>
    <x v="106"/>
    <x v="2"/>
    <x v="1"/>
    <d v="2011-06-06T00:00:00"/>
    <n v="5"/>
    <x v="0"/>
    <s v="Dianna Wilson"/>
    <x v="2"/>
    <s v="United States"/>
    <s v="Lakeville"/>
    <s v="Minnesota"/>
    <x v="2"/>
    <x v="1"/>
    <x v="9"/>
    <s v="Honeywell Enviracaire Portable HEPA Air Cleaner for 17' x 22' Room"/>
    <n v="1503.25"/>
    <n v="5"/>
    <n v="0"/>
    <n v="496.07"/>
  </r>
  <r>
    <x v="106"/>
    <x v="2"/>
    <x v="1"/>
    <d v="2011-06-06T00:00:00"/>
    <n v="5"/>
    <x v="0"/>
    <s v="Dianna Wilson"/>
    <x v="2"/>
    <s v="United States"/>
    <s v="Lakeville"/>
    <s v="Minnesota"/>
    <x v="2"/>
    <x v="1"/>
    <x v="10"/>
    <s v="Xerox 205"/>
    <n v="25.92"/>
    <n v="4"/>
    <n v="0"/>
    <n v="12.44"/>
  </r>
  <r>
    <x v="107"/>
    <x v="0"/>
    <x v="4"/>
    <s v="16-12-2013"/>
    <n v="5"/>
    <x v="0"/>
    <s v="Logan Haushalter"/>
    <x v="0"/>
    <s v="United States"/>
    <s v="San Francisco"/>
    <s v="California"/>
    <x v="1"/>
    <x v="0"/>
    <x v="1"/>
    <s v="Global Leather Highback Executive Chair with Pneumatic Height Adjustment, Black"/>
    <n v="321.57"/>
    <n v="2"/>
    <n v="0.2"/>
    <n v="28.14"/>
  </r>
  <r>
    <x v="108"/>
    <x v="0"/>
    <x v="8"/>
    <s v="18-09-2013"/>
    <n v="6"/>
    <x v="1"/>
    <s v="Kelly Collister"/>
    <x v="0"/>
    <s v="United States"/>
    <s v="San Diego"/>
    <s v="California"/>
    <x v="1"/>
    <x v="1"/>
    <x v="10"/>
    <s v="Wirebound Message Books, Two 4 1/4&quot; x 5&quot; Forms per Page"/>
    <n v="7.61"/>
    <n v="1"/>
    <n v="0"/>
    <n v="3.58"/>
  </r>
  <r>
    <x v="108"/>
    <x v="0"/>
    <x v="8"/>
    <s v="18-09-2013"/>
    <n v="6"/>
    <x v="1"/>
    <s v="Kelly Collister"/>
    <x v="0"/>
    <s v="United States"/>
    <s v="San Diego"/>
    <s v="California"/>
    <x v="1"/>
    <x v="2"/>
    <x v="11"/>
    <s v="Logitech P710e Mobile Speakerphone"/>
    <n v="3347.37"/>
    <n v="13"/>
    <n v="0"/>
    <n v="636"/>
  </r>
  <r>
    <x v="107"/>
    <x v="0"/>
    <x v="4"/>
    <s v="14-12-2013"/>
    <n v="3"/>
    <x v="2"/>
    <s v="Delfina Latchford"/>
    <x v="0"/>
    <s v="United States"/>
    <s v="New York City"/>
    <s v="New York"/>
    <x v="3"/>
    <x v="1"/>
    <x v="4"/>
    <s v="Fellowes Personal Hanging Folder Files, Navy"/>
    <n v="80.58"/>
    <n v="6"/>
    <n v="0"/>
    <n v="22.56"/>
  </r>
  <r>
    <x v="107"/>
    <x v="0"/>
    <x v="4"/>
    <s v="14-12-2013"/>
    <n v="3"/>
    <x v="2"/>
    <s v="Delfina Latchford"/>
    <x v="0"/>
    <s v="United States"/>
    <s v="New York City"/>
    <s v="New York"/>
    <x v="3"/>
    <x v="1"/>
    <x v="12"/>
    <s v="Tyvek Side-Opening Peel &amp; Seel Expanding Envelopes"/>
    <n v="361.92"/>
    <n v="4"/>
    <n v="0"/>
    <n v="162.86000000000001"/>
  </r>
  <r>
    <x v="109"/>
    <x v="1"/>
    <x v="0"/>
    <d v="2012-04-12T00:00:00"/>
    <n v="6"/>
    <x v="1"/>
    <s v="Dan Reichenbach"/>
    <x v="1"/>
    <s v="United States"/>
    <s v="Chicago"/>
    <s v="Illinois"/>
    <x v="2"/>
    <x v="0"/>
    <x v="5"/>
    <s v="Eldon 100 Class Desk Accessories"/>
    <n v="12.13"/>
    <n v="9"/>
    <n v="0.6"/>
    <n v="-8.49"/>
  </r>
  <r>
    <x v="109"/>
    <x v="1"/>
    <x v="0"/>
    <d v="2012-04-12T00:00:00"/>
    <n v="6"/>
    <x v="1"/>
    <s v="Dan Reichenbach"/>
    <x v="1"/>
    <s v="United States"/>
    <s v="Chicago"/>
    <s v="Illinois"/>
    <x v="2"/>
    <x v="1"/>
    <x v="4"/>
    <s v="Belkin 19&quot; Vented Equipment Shelf, Black"/>
    <n v="82.37"/>
    <n v="2"/>
    <n v="0.2"/>
    <n v="-19.559999999999999"/>
  </r>
  <r>
    <x v="109"/>
    <x v="1"/>
    <x v="0"/>
    <d v="2012-04-12T00:00:00"/>
    <n v="6"/>
    <x v="1"/>
    <s v="Dan Reichenbach"/>
    <x v="1"/>
    <s v="United States"/>
    <s v="Chicago"/>
    <s v="Illinois"/>
    <x v="2"/>
    <x v="1"/>
    <x v="4"/>
    <s v="Tenex Personal Project File with Scoop Front Design, Black"/>
    <n v="53.92"/>
    <n v="5"/>
    <n v="0.2"/>
    <n v="4.04"/>
  </r>
  <r>
    <x v="109"/>
    <x v="1"/>
    <x v="0"/>
    <d v="2012-04-12T00:00:00"/>
    <n v="6"/>
    <x v="1"/>
    <s v="Dan Reichenbach"/>
    <x v="1"/>
    <s v="United States"/>
    <s v="Chicago"/>
    <s v="Illinois"/>
    <x v="2"/>
    <x v="2"/>
    <x v="7"/>
    <s v="Logitech Mobile Speakerphone P710e - speaker phone"/>
    <n v="647.9"/>
    <n v="6"/>
    <n v="0.2"/>
    <n v="56.69"/>
  </r>
  <r>
    <x v="96"/>
    <x v="3"/>
    <x v="4"/>
    <d v="2014-04-12T00:00:00"/>
    <n v="2"/>
    <x v="0"/>
    <s v="Craig Carreira"/>
    <x v="0"/>
    <s v="United States"/>
    <s v="New York City"/>
    <s v="New York"/>
    <x v="3"/>
    <x v="2"/>
    <x v="11"/>
    <s v="Sabrent 4-Port USB 2.0 Hub"/>
    <n v="20.37"/>
    <n v="3"/>
    <n v="0"/>
    <n v="6.93"/>
  </r>
  <r>
    <x v="96"/>
    <x v="3"/>
    <x v="4"/>
    <d v="2014-04-12T00:00:00"/>
    <n v="2"/>
    <x v="0"/>
    <s v="Craig Carreira"/>
    <x v="0"/>
    <s v="United States"/>
    <s v="New York City"/>
    <s v="New York"/>
    <x v="3"/>
    <x v="1"/>
    <x v="4"/>
    <s v="Safco Industrial Shelving"/>
    <n v="221.55"/>
    <n v="3"/>
    <n v="0"/>
    <n v="6.65"/>
  </r>
  <r>
    <x v="96"/>
    <x v="3"/>
    <x v="4"/>
    <d v="2014-04-12T00:00:00"/>
    <n v="2"/>
    <x v="0"/>
    <s v="Craig Carreira"/>
    <x v="0"/>
    <s v="United States"/>
    <s v="New York City"/>
    <s v="New York"/>
    <x v="3"/>
    <x v="1"/>
    <x v="8"/>
    <s v="Acco 3-Hole Punch"/>
    <n v="17.52"/>
    <n v="5"/>
    <n v="0.2"/>
    <n v="6.13"/>
  </r>
  <r>
    <x v="110"/>
    <x v="3"/>
    <x v="1"/>
    <s v="13-06-2014"/>
    <n v="4"/>
    <x v="1"/>
    <s v="Dorris liebe"/>
    <x v="1"/>
    <s v="United States"/>
    <s v="Pasadena"/>
    <s v="Texas"/>
    <x v="2"/>
    <x v="1"/>
    <x v="9"/>
    <s v="Eureka Disposable Bags for Sanitaire Vibra Groomer I Upright Vac"/>
    <n v="1.62"/>
    <n v="2"/>
    <n v="0.8"/>
    <n v="-4.47"/>
  </r>
  <r>
    <x v="111"/>
    <x v="2"/>
    <x v="8"/>
    <s v="21-09-2011"/>
    <n v="2"/>
    <x v="0"/>
    <s v="Sean Braxton"/>
    <x v="1"/>
    <s v="United States"/>
    <s v="Houston"/>
    <s v="Texas"/>
    <x v="2"/>
    <x v="2"/>
    <x v="15"/>
    <s v="Lexmark MX611dhe Monochrome Laser Printer"/>
    <n v="3059.98"/>
    <n v="3"/>
    <n v="0.4"/>
    <n v="-510"/>
  </r>
  <r>
    <x v="111"/>
    <x v="2"/>
    <x v="8"/>
    <s v="21-09-2011"/>
    <n v="2"/>
    <x v="0"/>
    <s v="Sean Braxton"/>
    <x v="1"/>
    <s v="United States"/>
    <s v="Houston"/>
    <s v="Texas"/>
    <x v="2"/>
    <x v="2"/>
    <x v="15"/>
    <s v="Xerox WorkCentre 6505DN Laser Multifunction Printer"/>
    <n v="2519.96"/>
    <n v="7"/>
    <n v="0.4"/>
    <n v="-252"/>
  </r>
  <r>
    <x v="112"/>
    <x v="0"/>
    <x v="1"/>
    <s v="14-06-2013"/>
    <n v="7"/>
    <x v="1"/>
    <s v="Roy Collins"/>
    <x v="0"/>
    <s v="United States"/>
    <s v="Chicago"/>
    <s v="Illinois"/>
    <x v="2"/>
    <x v="2"/>
    <x v="7"/>
    <s v="Cisco Small Business SPA 502G VoIP phone"/>
    <n v="328.22"/>
    <n v="4"/>
    <n v="0.2"/>
    <n v="28.72"/>
  </r>
  <r>
    <x v="113"/>
    <x v="1"/>
    <x v="0"/>
    <s v="15-11-2012"/>
    <n v="5"/>
    <x v="1"/>
    <s v="Alan Hwang"/>
    <x v="0"/>
    <s v="United States"/>
    <s v="Brentwood"/>
    <s v="California"/>
    <x v="1"/>
    <x v="2"/>
    <x v="11"/>
    <s v="Microsoft Sculpt Comfort Mouse"/>
    <n v="79.900000000000006"/>
    <n v="2"/>
    <n v="0"/>
    <n v="35.159999999999997"/>
  </r>
  <r>
    <x v="114"/>
    <x v="3"/>
    <x v="1"/>
    <s v="21-06-2014"/>
    <n v="4"/>
    <x v="1"/>
    <s v="Claudia Bergmann"/>
    <x v="1"/>
    <s v="United States"/>
    <s v="Chapel Hill"/>
    <s v="North Carolina"/>
    <x v="0"/>
    <x v="1"/>
    <x v="6"/>
    <s v="Quartet Omega Colored Chalk, 12/Pack"/>
    <n v="14.02"/>
    <n v="3"/>
    <n v="0.2"/>
    <n v="4.7300000000000004"/>
  </r>
  <r>
    <x v="115"/>
    <x v="0"/>
    <x v="9"/>
    <s v="28-01-2013"/>
    <n v="6"/>
    <x v="1"/>
    <s v="Paul Gonzalez"/>
    <x v="0"/>
    <s v="United States"/>
    <s v="Morristown"/>
    <s v="New Jersey"/>
    <x v="3"/>
    <x v="1"/>
    <x v="13"/>
    <s v="Bagged Rubber Bands"/>
    <n v="7.56"/>
    <n v="6"/>
    <n v="0"/>
    <n v="0.3"/>
  </r>
  <r>
    <x v="34"/>
    <x v="3"/>
    <x v="4"/>
    <s v="14-12-2014"/>
    <n v="4"/>
    <x v="1"/>
    <s v="Christine Abelman"/>
    <x v="1"/>
    <s v="United States"/>
    <s v="Cincinnati"/>
    <s v="Ohio"/>
    <x v="3"/>
    <x v="1"/>
    <x v="4"/>
    <s v="Safco Commercial Shelving"/>
    <n v="37.21"/>
    <n v="1"/>
    <n v="0.2"/>
    <n v="-7.44"/>
  </r>
  <r>
    <x v="34"/>
    <x v="3"/>
    <x v="4"/>
    <s v="14-12-2014"/>
    <n v="4"/>
    <x v="1"/>
    <s v="Christine Abelman"/>
    <x v="1"/>
    <s v="United States"/>
    <s v="Cincinnati"/>
    <s v="Ohio"/>
    <x v="3"/>
    <x v="1"/>
    <x v="12"/>
    <s v="Recycled Interoffice Envelopes with String and Button Closure, 10 x 13"/>
    <n v="57.58"/>
    <n v="3"/>
    <n v="0.2"/>
    <n v="21.59"/>
  </r>
  <r>
    <x v="116"/>
    <x v="3"/>
    <x v="4"/>
    <d v="2015-03-01T00:00:00"/>
    <n v="5"/>
    <x v="0"/>
    <s v="Kristen Hastings"/>
    <x v="1"/>
    <s v="United States"/>
    <s v="San Francisco"/>
    <s v="California"/>
    <x v="1"/>
    <x v="1"/>
    <x v="4"/>
    <s v="Adjustable Depth Letter/Legal Cart"/>
    <n v="725.84"/>
    <n v="4"/>
    <n v="0"/>
    <n v="210.49"/>
  </r>
  <r>
    <x v="117"/>
    <x v="1"/>
    <x v="7"/>
    <s v="31-07-2012"/>
    <n v="1"/>
    <x v="2"/>
    <s v="Helen Andreada"/>
    <x v="0"/>
    <s v="United States"/>
    <s v="San Francisco"/>
    <s v="California"/>
    <x v="1"/>
    <x v="2"/>
    <x v="11"/>
    <s v="Logitech 910-002974 M325 Wireless Mouse for Web Scrolling"/>
    <n v="209.93"/>
    <n v="7"/>
    <n v="0"/>
    <n v="92.37"/>
  </r>
  <r>
    <x v="117"/>
    <x v="1"/>
    <x v="7"/>
    <s v="31-07-2012"/>
    <n v="1"/>
    <x v="2"/>
    <s v="Helen Andreada"/>
    <x v="0"/>
    <s v="United States"/>
    <s v="San Francisco"/>
    <s v="California"/>
    <x v="1"/>
    <x v="0"/>
    <x v="5"/>
    <s v="Regeneration Desk Collection"/>
    <n v="5.28"/>
    <n v="3"/>
    <n v="0"/>
    <n v="2.3199999999999998"/>
  </r>
  <r>
    <x v="117"/>
    <x v="1"/>
    <x v="7"/>
    <s v="31-07-2012"/>
    <n v="1"/>
    <x v="2"/>
    <s v="Helen Andreada"/>
    <x v="0"/>
    <s v="United States"/>
    <s v="San Francisco"/>
    <s v="California"/>
    <x v="1"/>
    <x v="1"/>
    <x v="8"/>
    <s v="Presstex Flexible Ring Binders"/>
    <n v="10.92"/>
    <n v="3"/>
    <n v="0.2"/>
    <n v="4.0999999999999996"/>
  </r>
  <r>
    <x v="118"/>
    <x v="3"/>
    <x v="8"/>
    <s v="18-09-2014"/>
    <n v="1"/>
    <x v="2"/>
    <s v="Barry Blumstein"/>
    <x v="1"/>
    <s v="United States"/>
    <s v="Inglewood"/>
    <s v="California"/>
    <x v="1"/>
    <x v="1"/>
    <x v="10"/>
    <s v="Ampad Gold Fibre Wirebound Steno Books, 6&quot; x 9&quot;, Gregg Ruled"/>
    <n v="8.82"/>
    <n v="2"/>
    <n v="0"/>
    <n v="4.0599999999999996"/>
  </r>
  <r>
    <x v="118"/>
    <x v="3"/>
    <x v="8"/>
    <s v="18-09-2014"/>
    <n v="1"/>
    <x v="2"/>
    <s v="Barry Blumstein"/>
    <x v="1"/>
    <s v="United States"/>
    <s v="Inglewood"/>
    <s v="California"/>
    <x v="1"/>
    <x v="1"/>
    <x v="6"/>
    <s v="Newell 330"/>
    <n v="5.98"/>
    <n v="1"/>
    <n v="0"/>
    <n v="1.55"/>
  </r>
  <r>
    <x v="119"/>
    <x v="3"/>
    <x v="2"/>
    <s v="18-10-2014"/>
    <n v="4"/>
    <x v="1"/>
    <s v="Andrew Gjertsen"/>
    <x v="1"/>
    <s v="United States"/>
    <s v="Philadelphia"/>
    <s v="Pennsylvania"/>
    <x v="3"/>
    <x v="1"/>
    <x v="10"/>
    <s v="Post-it “Important Message” Note Pad, Neon Colors, 50 Sheets/Pad"/>
    <n v="11.65"/>
    <n v="2"/>
    <n v="0.2"/>
    <n v="4.08"/>
  </r>
  <r>
    <x v="119"/>
    <x v="3"/>
    <x v="2"/>
    <s v="18-10-2014"/>
    <n v="4"/>
    <x v="1"/>
    <s v="Andrew Gjertsen"/>
    <x v="1"/>
    <s v="United States"/>
    <s v="Philadelphia"/>
    <s v="Pennsylvania"/>
    <x v="3"/>
    <x v="1"/>
    <x v="10"/>
    <s v="Adams Write n' Stick Phone Message Book, 11&quot; X 5 1/4&quot;, 200 Messages"/>
    <n v="18.18"/>
    <n v="4"/>
    <n v="0.2"/>
    <n v="5.91"/>
  </r>
  <r>
    <x v="119"/>
    <x v="3"/>
    <x v="2"/>
    <s v="18-10-2014"/>
    <n v="4"/>
    <x v="1"/>
    <s v="Andrew Gjertsen"/>
    <x v="1"/>
    <s v="United States"/>
    <s v="Philadelphia"/>
    <s v="Pennsylvania"/>
    <x v="3"/>
    <x v="1"/>
    <x v="4"/>
    <s v="Eldon Simplefile Box Office"/>
    <n v="59.71"/>
    <n v="6"/>
    <n v="0.2"/>
    <n v="5.97"/>
  </r>
  <r>
    <x v="119"/>
    <x v="3"/>
    <x v="2"/>
    <s v="18-10-2014"/>
    <n v="4"/>
    <x v="1"/>
    <s v="Andrew Gjertsen"/>
    <x v="1"/>
    <s v="United States"/>
    <s v="Philadelphia"/>
    <s v="Pennsylvania"/>
    <x v="3"/>
    <x v="1"/>
    <x v="2"/>
    <s v="Avery 489"/>
    <n v="24.84"/>
    <n v="3"/>
    <n v="0.2"/>
    <n v="8.69"/>
  </r>
  <r>
    <x v="120"/>
    <x v="1"/>
    <x v="8"/>
    <s v="28-09-2012"/>
    <n v="2"/>
    <x v="0"/>
    <s v="Steven Cartwright"/>
    <x v="0"/>
    <s v="United States"/>
    <s v="Houston"/>
    <s v="Texas"/>
    <x v="2"/>
    <x v="1"/>
    <x v="8"/>
    <s v="Round Ring Binders"/>
    <n v="2.08"/>
    <n v="5"/>
    <n v="0.8"/>
    <n v="-3.43"/>
  </r>
  <r>
    <x v="120"/>
    <x v="1"/>
    <x v="8"/>
    <s v="28-09-2012"/>
    <n v="2"/>
    <x v="0"/>
    <s v="Steven Cartwright"/>
    <x v="0"/>
    <s v="United States"/>
    <s v="Houston"/>
    <s v="Texas"/>
    <x v="2"/>
    <x v="2"/>
    <x v="7"/>
    <s v="Bose SoundLink Bluetooth Speaker"/>
    <n v="1114.4000000000001"/>
    <n v="7"/>
    <n v="0.2"/>
    <n v="376.11"/>
  </r>
  <r>
    <x v="121"/>
    <x v="1"/>
    <x v="0"/>
    <d v="2012-06-11T00:00:00"/>
    <n v="4"/>
    <x v="1"/>
    <s v="Jas O'Carroll"/>
    <x v="0"/>
    <s v="United States"/>
    <s v="Los Angeles"/>
    <s v="California"/>
    <x v="1"/>
    <x v="0"/>
    <x v="3"/>
    <s v="Bevis Round Bullnose 29&quot; High Table Top"/>
    <n v="1038.8399999999999"/>
    <n v="5"/>
    <n v="0.2"/>
    <n v="51.94"/>
  </r>
  <r>
    <x v="120"/>
    <x v="1"/>
    <x v="8"/>
    <d v="2012-02-10T00:00:00"/>
    <n v="6"/>
    <x v="1"/>
    <s v="Tracy Blumstein"/>
    <x v="0"/>
    <s v="United States"/>
    <s v="Portland"/>
    <s v="Oregon"/>
    <x v="1"/>
    <x v="1"/>
    <x v="10"/>
    <s v="Staples"/>
    <n v="141.76"/>
    <n v="5"/>
    <n v="0.2"/>
    <n v="47.84"/>
  </r>
  <r>
    <x v="120"/>
    <x v="1"/>
    <x v="8"/>
    <d v="2012-02-10T00:00:00"/>
    <n v="6"/>
    <x v="1"/>
    <s v="Tracy Blumstein"/>
    <x v="0"/>
    <s v="United States"/>
    <s v="Portland"/>
    <s v="Oregon"/>
    <x v="1"/>
    <x v="2"/>
    <x v="11"/>
    <s v="Microsoft Arc Touch Mouse"/>
    <n v="239.8"/>
    <n v="5"/>
    <n v="0.2"/>
    <n v="47.96"/>
  </r>
  <r>
    <x v="120"/>
    <x v="1"/>
    <x v="8"/>
    <d v="2012-02-10T00:00:00"/>
    <n v="6"/>
    <x v="1"/>
    <s v="Tracy Blumstein"/>
    <x v="0"/>
    <s v="United States"/>
    <s v="Portland"/>
    <s v="Oregon"/>
    <x v="1"/>
    <x v="1"/>
    <x v="10"/>
    <s v="Xerox 216"/>
    <n v="31.1"/>
    <n v="6"/>
    <n v="0.2"/>
    <n v="10.89"/>
  </r>
  <r>
    <x v="122"/>
    <x v="0"/>
    <x v="4"/>
    <s v="21-12-2013"/>
    <n v="2"/>
    <x v="0"/>
    <s v="Alan Haines"/>
    <x v="1"/>
    <s v="United States"/>
    <s v="Tamarac"/>
    <s v="Florida"/>
    <x v="0"/>
    <x v="1"/>
    <x v="8"/>
    <s v="GBC VeloBinder Electric Binding Machine"/>
    <n v="254.06"/>
    <n v="7"/>
    <n v="0.7"/>
    <n v="-169.37"/>
  </r>
  <r>
    <x v="122"/>
    <x v="0"/>
    <x v="4"/>
    <s v="21-12-2013"/>
    <n v="2"/>
    <x v="0"/>
    <s v="Alan Haines"/>
    <x v="1"/>
    <s v="United States"/>
    <s v="Tamarac"/>
    <s v="Florida"/>
    <x v="0"/>
    <x v="1"/>
    <x v="9"/>
    <s v="Acco 7-Outlet Masterpiece Power Center, Wihtout Fax/Phone Line Protection"/>
    <n v="194.53"/>
    <n v="2"/>
    <n v="0.2"/>
    <n v="24.32"/>
  </r>
  <r>
    <x v="122"/>
    <x v="0"/>
    <x v="4"/>
    <s v="21-12-2013"/>
    <n v="2"/>
    <x v="0"/>
    <s v="Alan Haines"/>
    <x v="1"/>
    <s v="United States"/>
    <s v="Tamarac"/>
    <s v="Florida"/>
    <x v="0"/>
    <x v="1"/>
    <x v="14"/>
    <s v="Premier Automatic Letter Opener"/>
    <n v="961.48"/>
    <n v="5"/>
    <n v="0.2"/>
    <n v="-204.31"/>
  </r>
  <r>
    <x v="73"/>
    <x v="0"/>
    <x v="0"/>
    <s v="25-11-2013"/>
    <n v="4"/>
    <x v="0"/>
    <s v="Nick Zandusky"/>
    <x v="2"/>
    <s v="United States"/>
    <s v="Columbus"/>
    <s v="Ohio"/>
    <x v="3"/>
    <x v="1"/>
    <x v="13"/>
    <s v="Advantus SlideClip Paper Clips"/>
    <n v="19.100000000000001"/>
    <n v="7"/>
    <n v="0.2"/>
    <n v="6.68"/>
  </r>
  <r>
    <x v="73"/>
    <x v="0"/>
    <x v="0"/>
    <s v="25-11-2013"/>
    <n v="4"/>
    <x v="0"/>
    <s v="Nick Zandusky"/>
    <x v="2"/>
    <s v="United States"/>
    <s v="Columbus"/>
    <s v="Ohio"/>
    <x v="3"/>
    <x v="1"/>
    <x v="2"/>
    <s v="Avery 512"/>
    <n v="18.5"/>
    <n v="8"/>
    <n v="0.2"/>
    <n v="6.24"/>
  </r>
  <r>
    <x v="73"/>
    <x v="0"/>
    <x v="0"/>
    <s v="25-11-2013"/>
    <n v="4"/>
    <x v="0"/>
    <s v="Nick Zandusky"/>
    <x v="2"/>
    <s v="United States"/>
    <s v="Columbus"/>
    <s v="Ohio"/>
    <x v="3"/>
    <x v="2"/>
    <x v="11"/>
    <s v="Logitech Wireless Gaming Headset G930"/>
    <n v="255.98"/>
    <n v="2"/>
    <n v="0.2"/>
    <n v="54.4"/>
  </r>
  <r>
    <x v="73"/>
    <x v="0"/>
    <x v="0"/>
    <s v="25-11-2013"/>
    <n v="4"/>
    <x v="0"/>
    <s v="Nick Zandusky"/>
    <x v="2"/>
    <s v="United States"/>
    <s v="Columbus"/>
    <s v="Ohio"/>
    <x v="3"/>
    <x v="0"/>
    <x v="0"/>
    <s v="Bush Westfield Collection Bookcases, Medium Cherry Finish"/>
    <n v="86.97"/>
    <n v="3"/>
    <n v="0.5"/>
    <n v="-48.7"/>
  </r>
  <r>
    <x v="58"/>
    <x v="2"/>
    <x v="4"/>
    <s v="28-12-2011"/>
    <n v="2"/>
    <x v="2"/>
    <s v="Kelly Lampkin"/>
    <x v="1"/>
    <s v="United States"/>
    <s v="Colorado Springs"/>
    <s v="Colorado"/>
    <x v="1"/>
    <x v="0"/>
    <x v="5"/>
    <s v="Howard Miller 13&quot; Diameter Goldtone Round Wall Clock"/>
    <n v="300.42"/>
    <n v="8"/>
    <n v="0.2"/>
    <n v="78.86"/>
  </r>
  <r>
    <x v="58"/>
    <x v="2"/>
    <x v="4"/>
    <s v="28-12-2011"/>
    <n v="2"/>
    <x v="2"/>
    <s v="Kelly Lampkin"/>
    <x v="1"/>
    <s v="United States"/>
    <s v="Colorado Springs"/>
    <s v="Colorado"/>
    <x v="1"/>
    <x v="0"/>
    <x v="1"/>
    <s v="Global Deluxe Office Fabric Chairs"/>
    <n v="230.35"/>
    <n v="3"/>
    <n v="0.2"/>
    <n v="20.16"/>
  </r>
  <r>
    <x v="58"/>
    <x v="2"/>
    <x v="4"/>
    <s v="28-12-2011"/>
    <n v="2"/>
    <x v="2"/>
    <s v="Kelly Lampkin"/>
    <x v="1"/>
    <s v="United States"/>
    <s v="Colorado Springs"/>
    <s v="Colorado"/>
    <x v="1"/>
    <x v="0"/>
    <x v="5"/>
    <s v="Eldon ClusterMat Chair Mat with Cordless Antistatic Protection"/>
    <n v="218.35"/>
    <n v="3"/>
    <n v="0.2"/>
    <n v="-24.56"/>
  </r>
  <r>
    <x v="58"/>
    <x v="2"/>
    <x v="4"/>
    <s v="28-12-2011"/>
    <n v="2"/>
    <x v="2"/>
    <s v="Kelly Lampkin"/>
    <x v="1"/>
    <s v="United States"/>
    <s v="Colorado Springs"/>
    <s v="Colorado"/>
    <x v="1"/>
    <x v="1"/>
    <x v="8"/>
    <s v="Ibico Laser Imprintable Binding System Covers"/>
    <n v="78.599999999999994"/>
    <n v="5"/>
    <n v="0.7"/>
    <n v="-62.88"/>
  </r>
  <r>
    <x v="58"/>
    <x v="2"/>
    <x v="4"/>
    <s v="28-12-2011"/>
    <n v="2"/>
    <x v="2"/>
    <s v="Kelly Lampkin"/>
    <x v="1"/>
    <s v="United States"/>
    <s v="Colorado Springs"/>
    <s v="Colorado"/>
    <x v="1"/>
    <x v="1"/>
    <x v="13"/>
    <s v="Vinyl Coated Wire Paper Clips in Organizer Box, 800/Box"/>
    <n v="27.55"/>
    <n v="3"/>
    <n v="0.2"/>
    <n v="9.3000000000000007"/>
  </r>
  <r>
    <x v="99"/>
    <x v="0"/>
    <x v="2"/>
    <d v="2013-04-11T00:00:00"/>
    <n v="6"/>
    <x v="1"/>
    <s v="Jonathan Doherty"/>
    <x v="1"/>
    <s v="United States"/>
    <s v="Belleville"/>
    <s v="New Jersey"/>
    <x v="3"/>
    <x v="1"/>
    <x v="10"/>
    <s v="Xerox 223"/>
    <n v="32.4"/>
    <n v="5"/>
    <n v="0"/>
    <n v="15.55"/>
  </r>
  <r>
    <x v="99"/>
    <x v="0"/>
    <x v="2"/>
    <d v="2013-04-11T00:00:00"/>
    <n v="6"/>
    <x v="1"/>
    <s v="Jonathan Doherty"/>
    <x v="1"/>
    <s v="United States"/>
    <s v="Belleville"/>
    <s v="New Jersey"/>
    <x v="3"/>
    <x v="1"/>
    <x v="4"/>
    <s v="Tennsco Stur-D-Stor Boltless Shelving, 5 Shelves, 24&quot; Deep, Sand"/>
    <n v="1082.48"/>
    <n v="8"/>
    <n v="0"/>
    <n v="10.82"/>
  </r>
  <r>
    <x v="99"/>
    <x v="0"/>
    <x v="2"/>
    <d v="2013-04-11T00:00:00"/>
    <n v="6"/>
    <x v="1"/>
    <s v="Jonathan Doherty"/>
    <x v="1"/>
    <s v="United States"/>
    <s v="Belleville"/>
    <s v="New Jersey"/>
    <x v="3"/>
    <x v="1"/>
    <x v="10"/>
    <s v="Xerox 1939"/>
    <n v="56.91"/>
    <n v="3"/>
    <n v="0"/>
    <n v="27.32"/>
  </r>
  <r>
    <x v="99"/>
    <x v="0"/>
    <x v="2"/>
    <d v="2013-04-11T00:00:00"/>
    <n v="6"/>
    <x v="1"/>
    <s v="Jonathan Doherty"/>
    <x v="1"/>
    <s v="United States"/>
    <s v="Belleville"/>
    <s v="New Jersey"/>
    <x v="3"/>
    <x v="0"/>
    <x v="5"/>
    <s v="Floodlight Indoor Halogen Bulbs, 1 Bulb per Pack, 60 Watts"/>
    <n v="77.599999999999994"/>
    <n v="4"/>
    <n v="0"/>
    <n v="38.020000000000003"/>
  </r>
  <r>
    <x v="99"/>
    <x v="0"/>
    <x v="2"/>
    <d v="2013-04-11T00:00:00"/>
    <n v="6"/>
    <x v="1"/>
    <s v="Jonathan Doherty"/>
    <x v="1"/>
    <s v="United States"/>
    <s v="Belleville"/>
    <s v="New Jersey"/>
    <x v="3"/>
    <x v="1"/>
    <x v="8"/>
    <s v="Avery Premier Heavy-Duty Binder with Round Locking Rings"/>
    <n v="14.28"/>
    <n v="1"/>
    <n v="0"/>
    <n v="6.57"/>
  </r>
  <r>
    <x v="123"/>
    <x v="3"/>
    <x v="0"/>
    <s v="24-11-2014"/>
    <n v="4"/>
    <x v="1"/>
    <s v="Jonathan Howell"/>
    <x v="0"/>
    <s v="United States"/>
    <s v="Chicago"/>
    <s v="Illinois"/>
    <x v="2"/>
    <x v="0"/>
    <x v="3"/>
    <s v="BPI Conference Tables"/>
    <n v="219.08"/>
    <n v="3"/>
    <n v="0.5"/>
    <n v="-131.44999999999999"/>
  </r>
  <r>
    <x v="124"/>
    <x v="1"/>
    <x v="5"/>
    <d v="2012-09-05T00:00:00"/>
    <n v="5"/>
    <x v="0"/>
    <s v="Alan Schoenberger"/>
    <x v="1"/>
    <s v="United States"/>
    <s v="New York City"/>
    <s v="New York"/>
    <x v="3"/>
    <x v="0"/>
    <x v="5"/>
    <s v="Electrix 20W Halogen Replacement Bulb for Zoom-In Desk Lamp"/>
    <n v="26.8"/>
    <n v="2"/>
    <n v="0"/>
    <n v="12.86"/>
  </r>
  <r>
    <x v="125"/>
    <x v="2"/>
    <x v="4"/>
    <d v="2012-04-01T00:00:00"/>
    <n v="5"/>
    <x v="1"/>
    <s v="Ken Brennan"/>
    <x v="1"/>
    <s v="United States"/>
    <s v="Taylor"/>
    <s v="Michigan"/>
    <x v="2"/>
    <x v="1"/>
    <x v="6"/>
    <s v="Newell 350"/>
    <n v="9.84"/>
    <n v="3"/>
    <n v="0"/>
    <n v="2.85"/>
  </r>
  <r>
    <x v="106"/>
    <x v="2"/>
    <x v="1"/>
    <d v="2011-06-06T00:00:00"/>
    <n v="5"/>
    <x v="1"/>
    <s v="Corey Roper"/>
    <x v="2"/>
    <s v="United States"/>
    <s v="Lakewood"/>
    <s v="New Jersey"/>
    <x v="3"/>
    <x v="1"/>
    <x v="8"/>
    <s v="GBC Clear Cover, 8-1/2 x 11, unpunched, 25 covers per pack"/>
    <n v="45.48"/>
    <n v="3"/>
    <n v="0"/>
    <n v="20.92"/>
  </r>
  <r>
    <x v="106"/>
    <x v="2"/>
    <x v="1"/>
    <d v="2011-06-06T00:00:00"/>
    <n v="5"/>
    <x v="1"/>
    <s v="Corey Roper"/>
    <x v="2"/>
    <s v="United States"/>
    <s v="Lakewood"/>
    <s v="New Jersey"/>
    <x v="3"/>
    <x v="1"/>
    <x v="6"/>
    <s v="Boston Heavy-Duty Trimline Electric Pencil Sharpeners"/>
    <n v="289.2"/>
    <n v="6"/>
    <n v="0"/>
    <n v="83.87"/>
  </r>
  <r>
    <x v="4"/>
    <x v="3"/>
    <x v="3"/>
    <s v="18-04-2014"/>
    <n v="2"/>
    <x v="2"/>
    <s v="Shahid Hopkins"/>
    <x v="0"/>
    <s v="United States"/>
    <s v="Arlington"/>
    <s v="Virginia"/>
    <x v="0"/>
    <x v="1"/>
    <x v="6"/>
    <s v="Faber Castell Col-Erase Pencils"/>
    <n v="4.8899999999999997"/>
    <n v="1"/>
    <n v="0"/>
    <n v="2"/>
  </r>
  <r>
    <x v="126"/>
    <x v="0"/>
    <x v="8"/>
    <s v="15-09-2013"/>
    <n v="2"/>
    <x v="0"/>
    <s v="Ben Peterman"/>
    <x v="1"/>
    <s v="United States"/>
    <s v="Arvada"/>
    <s v="Colorado"/>
    <x v="1"/>
    <x v="0"/>
    <x v="5"/>
    <s v="C-Line Cubicle Keepers Polyproplyene Holder With Velcro Backings"/>
    <n v="15.14"/>
    <n v="4"/>
    <n v="0.2"/>
    <n v="3.59"/>
  </r>
  <r>
    <x v="126"/>
    <x v="0"/>
    <x v="8"/>
    <s v="15-09-2013"/>
    <n v="2"/>
    <x v="0"/>
    <s v="Ben Peterman"/>
    <x v="1"/>
    <s v="United States"/>
    <s v="Arvada"/>
    <s v="Colorado"/>
    <x v="1"/>
    <x v="0"/>
    <x v="1"/>
    <s v="Hon 4070 Series Pagoda Armless Upholstered Stacking Chairs"/>
    <n v="466.77"/>
    <n v="2"/>
    <n v="0.2"/>
    <n v="52.51"/>
  </r>
  <r>
    <x v="126"/>
    <x v="0"/>
    <x v="8"/>
    <s v="15-09-2013"/>
    <n v="2"/>
    <x v="0"/>
    <s v="Ben Peterman"/>
    <x v="1"/>
    <s v="United States"/>
    <s v="Arvada"/>
    <s v="Colorado"/>
    <x v="1"/>
    <x v="0"/>
    <x v="5"/>
    <s v="Eldon Expressions Desk Accessory, Wood Photo Frame, Mahogany"/>
    <n v="15.23"/>
    <n v="1"/>
    <n v="0.2"/>
    <n v="1.71"/>
  </r>
  <r>
    <x v="126"/>
    <x v="0"/>
    <x v="8"/>
    <s v="15-09-2013"/>
    <n v="2"/>
    <x v="0"/>
    <s v="Ben Peterman"/>
    <x v="1"/>
    <s v="United States"/>
    <s v="Arvada"/>
    <s v="Colorado"/>
    <x v="1"/>
    <x v="1"/>
    <x v="2"/>
    <s v="Avery 509"/>
    <n v="6.26"/>
    <n v="3"/>
    <n v="0.2"/>
    <n v="2.04"/>
  </r>
  <r>
    <x v="127"/>
    <x v="2"/>
    <x v="8"/>
    <d v="2011-03-10T00:00:00"/>
    <n v="6"/>
    <x v="1"/>
    <s v="Thomas Seio"/>
    <x v="1"/>
    <s v="United States"/>
    <s v="Hackensack"/>
    <s v="New Jersey"/>
    <x v="3"/>
    <x v="0"/>
    <x v="5"/>
    <s v="Deflect-o SuperTray Unbreakable Stackable Tray, Letter, Black"/>
    <n v="87.54"/>
    <n v="3"/>
    <n v="0"/>
    <n v="37.64"/>
  </r>
  <r>
    <x v="128"/>
    <x v="2"/>
    <x v="6"/>
    <s v="16-08-2011"/>
    <n v="7"/>
    <x v="1"/>
    <s v="Andy Gerbode"/>
    <x v="1"/>
    <s v="United States"/>
    <s v="Saint Petersburg"/>
    <s v="Florida"/>
    <x v="0"/>
    <x v="2"/>
    <x v="7"/>
    <s v="AT&amp;T 1070 Corded Phone"/>
    <n v="178.38"/>
    <n v="2"/>
    <n v="0.2"/>
    <n v="22.3"/>
  </r>
  <r>
    <x v="128"/>
    <x v="2"/>
    <x v="6"/>
    <s v="16-08-2011"/>
    <n v="7"/>
    <x v="1"/>
    <s v="Andy Gerbode"/>
    <x v="1"/>
    <s v="United States"/>
    <s v="Saint Petersburg"/>
    <s v="Florida"/>
    <x v="0"/>
    <x v="1"/>
    <x v="10"/>
    <s v="Xerox 21"/>
    <n v="15.55"/>
    <n v="3"/>
    <n v="0.2"/>
    <n v="5.44"/>
  </r>
  <r>
    <x v="129"/>
    <x v="2"/>
    <x v="4"/>
    <s v="30-12-2011"/>
    <n v="2"/>
    <x v="2"/>
    <s v="Sung Pak"/>
    <x v="1"/>
    <s v="United States"/>
    <s v="Philadelphia"/>
    <s v="Pennsylvania"/>
    <x v="3"/>
    <x v="1"/>
    <x v="6"/>
    <s v="Boston School Pro Electric Pencil Sharpener, 1670"/>
    <n v="99.14"/>
    <n v="4"/>
    <n v="0.2"/>
    <n v="8.67"/>
  </r>
  <r>
    <x v="130"/>
    <x v="2"/>
    <x v="0"/>
    <d v="2011-09-11T00:00:00"/>
    <n v="5"/>
    <x v="1"/>
    <s v="Nathan Mautz"/>
    <x v="2"/>
    <s v="United States"/>
    <s v="New York City"/>
    <s v="New York"/>
    <x v="3"/>
    <x v="0"/>
    <x v="1"/>
    <s v="DMI Arturo Collection Mission-style Design Wood Chair"/>
    <n v="135.88"/>
    <n v="1"/>
    <n v="0.1"/>
    <n v="24.16"/>
  </r>
  <r>
    <x v="130"/>
    <x v="2"/>
    <x v="0"/>
    <d v="2011-09-11T00:00:00"/>
    <n v="5"/>
    <x v="1"/>
    <s v="Nathan Mautz"/>
    <x v="2"/>
    <s v="United States"/>
    <s v="New York City"/>
    <s v="New York"/>
    <x v="3"/>
    <x v="2"/>
    <x v="15"/>
    <s v="Canon imageCLASS MF7460 Monochrome Digital Laser Multifunction Copier"/>
    <n v="3991.98"/>
    <n v="2"/>
    <n v="0"/>
    <n v="1995.99"/>
  </r>
  <r>
    <x v="130"/>
    <x v="2"/>
    <x v="0"/>
    <d v="2011-09-11T00:00:00"/>
    <n v="5"/>
    <x v="1"/>
    <s v="Nathan Mautz"/>
    <x v="2"/>
    <s v="United States"/>
    <s v="New York City"/>
    <s v="New York"/>
    <x v="3"/>
    <x v="2"/>
    <x v="7"/>
    <s v="Panasonic Kx-TS550"/>
    <n v="275.94"/>
    <n v="6"/>
    <n v="0"/>
    <n v="80.02"/>
  </r>
  <r>
    <x v="130"/>
    <x v="2"/>
    <x v="0"/>
    <d v="2011-09-11T00:00:00"/>
    <n v="5"/>
    <x v="1"/>
    <s v="Nathan Mautz"/>
    <x v="2"/>
    <s v="United States"/>
    <s v="New York City"/>
    <s v="New York"/>
    <x v="3"/>
    <x v="2"/>
    <x v="11"/>
    <s v="NETGEAR N750 Dual Band Wi-Fi Gigabit Router"/>
    <n v="360"/>
    <n v="4"/>
    <n v="0"/>
    <n v="129.6"/>
  </r>
  <r>
    <x v="130"/>
    <x v="2"/>
    <x v="0"/>
    <d v="2011-09-11T00:00:00"/>
    <n v="5"/>
    <x v="1"/>
    <s v="Nathan Mautz"/>
    <x v="2"/>
    <s v="United States"/>
    <s v="New York City"/>
    <s v="New York"/>
    <x v="3"/>
    <x v="1"/>
    <x v="4"/>
    <s v="Trav-L-File Heavy-Duty Shuttle II, Black"/>
    <n v="43.57"/>
    <n v="1"/>
    <n v="0"/>
    <n v="13.07"/>
  </r>
  <r>
    <x v="111"/>
    <x v="2"/>
    <x v="8"/>
    <s v="24-09-2011"/>
    <n v="5"/>
    <x v="1"/>
    <s v="Frank Atkinson"/>
    <x v="1"/>
    <s v="United States"/>
    <s v="Long Beach"/>
    <s v="California"/>
    <x v="1"/>
    <x v="1"/>
    <x v="13"/>
    <s v="OIC Binder Clips"/>
    <n v="7.16"/>
    <n v="2"/>
    <n v="0"/>
    <n v="3.58"/>
  </r>
  <r>
    <x v="131"/>
    <x v="0"/>
    <x v="3"/>
    <s v="28-04-2013"/>
    <n v="4"/>
    <x v="1"/>
    <s v="Grace Kelly"/>
    <x v="1"/>
    <s v="United States"/>
    <s v="Hesperia"/>
    <s v="California"/>
    <x v="1"/>
    <x v="1"/>
    <x v="8"/>
    <s v="Ibico Laser Imprintable Binding System Covers"/>
    <n v="251.52"/>
    <n v="6"/>
    <n v="0.2"/>
    <n v="81.739999999999995"/>
  </r>
  <r>
    <x v="131"/>
    <x v="0"/>
    <x v="3"/>
    <s v="28-04-2013"/>
    <n v="4"/>
    <x v="1"/>
    <s v="Grace Kelly"/>
    <x v="1"/>
    <s v="United States"/>
    <s v="Hesperia"/>
    <s v="California"/>
    <x v="1"/>
    <x v="2"/>
    <x v="11"/>
    <s v="Logitech Wireless Headset h800"/>
    <n v="99.99"/>
    <n v="1"/>
    <n v="0"/>
    <n v="35"/>
  </r>
  <r>
    <x v="132"/>
    <x v="3"/>
    <x v="0"/>
    <d v="2014-06-11T00:00:00"/>
    <n v="2"/>
    <x v="0"/>
    <s v="Don Jones"/>
    <x v="1"/>
    <s v="United States"/>
    <s v="Murfreesboro"/>
    <s v="Tennessee"/>
    <x v="0"/>
    <x v="0"/>
    <x v="5"/>
    <s v="Telescoping Adjustable Floor Lamp"/>
    <n v="15.99"/>
    <n v="1"/>
    <n v="0.2"/>
    <n v="1"/>
  </r>
  <r>
    <x v="133"/>
    <x v="0"/>
    <x v="6"/>
    <d v="2013-02-09T00:00:00"/>
    <n v="2"/>
    <x v="2"/>
    <s v="Patrick O'Brill"/>
    <x v="0"/>
    <s v="United States"/>
    <s v="Philadelphia"/>
    <s v="Pennsylvania"/>
    <x v="3"/>
    <x v="2"/>
    <x v="7"/>
    <s v="Aastra 57i VoIP phone"/>
    <n v="290.89999999999998"/>
    <n v="3"/>
    <n v="0.4"/>
    <n v="-67.88"/>
  </r>
  <r>
    <x v="133"/>
    <x v="0"/>
    <x v="6"/>
    <d v="2013-02-09T00:00:00"/>
    <n v="2"/>
    <x v="2"/>
    <s v="Patrick O'Brill"/>
    <x v="0"/>
    <s v="United States"/>
    <s v="Philadelphia"/>
    <s v="Pennsylvania"/>
    <x v="3"/>
    <x v="1"/>
    <x v="4"/>
    <s v="File Shuttle II and Handi-File, Black"/>
    <n v="54.22"/>
    <n v="2"/>
    <n v="0.2"/>
    <n v="3.39"/>
  </r>
  <r>
    <x v="133"/>
    <x v="0"/>
    <x v="6"/>
    <d v="2013-02-09T00:00:00"/>
    <n v="2"/>
    <x v="2"/>
    <s v="Patrick O'Brill"/>
    <x v="0"/>
    <s v="United States"/>
    <s v="Philadelphia"/>
    <s v="Pennsylvania"/>
    <x v="3"/>
    <x v="0"/>
    <x v="1"/>
    <s v="Hon 2090 “Pillow Soft” Series Mid Back Swivel/Tilt Chairs"/>
    <n v="786.74"/>
    <n v="4"/>
    <n v="0.3"/>
    <n v="-258.5"/>
  </r>
  <r>
    <x v="133"/>
    <x v="0"/>
    <x v="6"/>
    <d v="2013-02-09T00:00:00"/>
    <n v="2"/>
    <x v="2"/>
    <s v="Patrick O'Brill"/>
    <x v="0"/>
    <s v="United States"/>
    <s v="Philadelphia"/>
    <s v="Pennsylvania"/>
    <x v="3"/>
    <x v="1"/>
    <x v="2"/>
    <s v="Round Specialty Laser Printer Labels"/>
    <n v="100.24"/>
    <n v="10"/>
    <n v="0.2"/>
    <n v="33.83"/>
  </r>
  <r>
    <x v="133"/>
    <x v="0"/>
    <x v="6"/>
    <d v="2013-02-09T00:00:00"/>
    <n v="2"/>
    <x v="2"/>
    <s v="Patrick O'Brill"/>
    <x v="0"/>
    <s v="United States"/>
    <s v="Philadelphia"/>
    <s v="Pennsylvania"/>
    <x v="3"/>
    <x v="1"/>
    <x v="8"/>
    <s v="GBC Premium Transparent Covers with Diagonal Lined Pattern"/>
    <n v="37.76"/>
    <n v="6"/>
    <n v="0.7"/>
    <n v="-27.69"/>
  </r>
  <r>
    <x v="134"/>
    <x v="0"/>
    <x v="3"/>
    <s v="30-04-2013"/>
    <n v="4"/>
    <x v="0"/>
    <s v="John Lucas"/>
    <x v="0"/>
    <s v="United States"/>
    <s v="Philadelphia"/>
    <s v="Pennsylvania"/>
    <x v="3"/>
    <x v="2"/>
    <x v="7"/>
    <s v="AT&amp;T 841000 Phone"/>
    <n v="82.8"/>
    <n v="2"/>
    <n v="0.4"/>
    <n v="-20.7"/>
  </r>
  <r>
    <x v="134"/>
    <x v="0"/>
    <x v="3"/>
    <s v="30-04-2013"/>
    <n v="4"/>
    <x v="0"/>
    <s v="John Lucas"/>
    <x v="0"/>
    <s v="United States"/>
    <s v="Philadelphia"/>
    <s v="Pennsylvania"/>
    <x v="3"/>
    <x v="1"/>
    <x v="8"/>
    <s v="Ibico Recycled Grain-Textured Covers"/>
    <n v="20.72"/>
    <n v="2"/>
    <n v="0.7"/>
    <n v="-13.82"/>
  </r>
  <r>
    <x v="134"/>
    <x v="0"/>
    <x v="3"/>
    <s v="30-04-2013"/>
    <n v="4"/>
    <x v="0"/>
    <s v="John Lucas"/>
    <x v="0"/>
    <s v="United States"/>
    <s v="Philadelphia"/>
    <s v="Pennsylvania"/>
    <x v="3"/>
    <x v="1"/>
    <x v="8"/>
    <s v="Wilson Jones Custom Binder Spines &amp; Labels"/>
    <n v="4.9000000000000004"/>
    <n v="3"/>
    <n v="0.7"/>
    <n v="-3.43"/>
  </r>
  <r>
    <x v="135"/>
    <x v="1"/>
    <x v="8"/>
    <d v="2012-04-09T00:00:00"/>
    <n v="3"/>
    <x v="0"/>
    <s v="Doug Bickford"/>
    <x v="0"/>
    <s v="United States"/>
    <s v="Los Angeles"/>
    <s v="California"/>
    <x v="1"/>
    <x v="1"/>
    <x v="8"/>
    <s v="Storex Dura Pro Binders"/>
    <n v="4.75"/>
    <n v="1"/>
    <n v="0.2"/>
    <n v="1.6"/>
  </r>
  <r>
    <x v="135"/>
    <x v="1"/>
    <x v="8"/>
    <d v="2012-04-09T00:00:00"/>
    <n v="3"/>
    <x v="0"/>
    <s v="Doug Bickford"/>
    <x v="0"/>
    <s v="United States"/>
    <s v="Los Angeles"/>
    <s v="California"/>
    <x v="1"/>
    <x v="2"/>
    <x v="16"/>
    <s v="Hewlett Packard LaserJet 3310 Copier"/>
    <n v="959.98"/>
    <n v="2"/>
    <n v="0.2"/>
    <n v="335.99"/>
  </r>
  <r>
    <x v="135"/>
    <x v="1"/>
    <x v="8"/>
    <d v="2012-04-09T00:00:00"/>
    <n v="3"/>
    <x v="0"/>
    <s v="Doug Bickford"/>
    <x v="0"/>
    <s v="United States"/>
    <s v="Los Angeles"/>
    <s v="California"/>
    <x v="1"/>
    <x v="1"/>
    <x v="8"/>
    <s v="Avery Non-Stick Binders"/>
    <n v="14.37"/>
    <n v="4"/>
    <n v="0.2"/>
    <n v="4.49"/>
  </r>
  <r>
    <x v="136"/>
    <x v="2"/>
    <x v="7"/>
    <s v="17-07-2011"/>
    <n v="5"/>
    <x v="1"/>
    <s v="Alyssa Crouse"/>
    <x v="1"/>
    <s v="United States"/>
    <s v="San Francisco"/>
    <s v="California"/>
    <x v="1"/>
    <x v="1"/>
    <x v="8"/>
    <s v="Tuff Stuff Recycled Round Ring Binders"/>
    <n v="7.71"/>
    <n v="2"/>
    <n v="0.2"/>
    <n v="2.8"/>
  </r>
  <r>
    <x v="136"/>
    <x v="2"/>
    <x v="7"/>
    <s v="17-07-2011"/>
    <n v="5"/>
    <x v="1"/>
    <s v="Alyssa Crouse"/>
    <x v="1"/>
    <s v="United States"/>
    <s v="San Francisco"/>
    <s v="California"/>
    <x v="1"/>
    <x v="0"/>
    <x v="3"/>
    <s v="Hon 5100 Series Wood Tables"/>
    <n v="698.35"/>
    <n v="3"/>
    <n v="0.2"/>
    <n v="-17.46"/>
  </r>
  <r>
    <x v="137"/>
    <x v="1"/>
    <x v="1"/>
    <s v="26-06-2012"/>
    <n v="4"/>
    <x v="0"/>
    <s v="Ken Lonsdale"/>
    <x v="0"/>
    <s v="United States"/>
    <s v="Layton"/>
    <s v="Utah"/>
    <x v="1"/>
    <x v="1"/>
    <x v="13"/>
    <s v="OIC Binder Clips, Mini, 1/4&quot; Capacity, Black"/>
    <n v="4.96"/>
    <n v="4"/>
    <n v="0"/>
    <n v="2.33"/>
  </r>
  <r>
    <x v="138"/>
    <x v="2"/>
    <x v="3"/>
    <s v="17-04-2011"/>
    <n v="4"/>
    <x v="0"/>
    <s v="Jonathan Doherty"/>
    <x v="1"/>
    <s v="United States"/>
    <s v="Philadelphia"/>
    <s v="Pennsylvania"/>
    <x v="3"/>
    <x v="1"/>
    <x v="6"/>
    <s v="Newell 314"/>
    <n v="17.86"/>
    <n v="4"/>
    <n v="0.2"/>
    <n v="1.1200000000000001"/>
  </r>
  <r>
    <x v="138"/>
    <x v="2"/>
    <x v="3"/>
    <s v="17-04-2011"/>
    <n v="4"/>
    <x v="0"/>
    <s v="Jonathan Doherty"/>
    <x v="1"/>
    <s v="United States"/>
    <s v="Philadelphia"/>
    <s v="Pennsylvania"/>
    <x v="3"/>
    <x v="1"/>
    <x v="8"/>
    <s v="Fellowes PB200 Plastic Comb Binding Machine"/>
    <n v="509.97"/>
    <n v="10"/>
    <n v="0.7"/>
    <n v="-407.98"/>
  </r>
  <r>
    <x v="138"/>
    <x v="2"/>
    <x v="3"/>
    <s v="17-04-2011"/>
    <n v="4"/>
    <x v="0"/>
    <s v="Jonathan Doherty"/>
    <x v="1"/>
    <s v="United States"/>
    <s v="Philadelphia"/>
    <s v="Pennsylvania"/>
    <x v="3"/>
    <x v="1"/>
    <x v="13"/>
    <s v="Staples"/>
    <n v="30.99"/>
    <n v="13"/>
    <n v="0.2"/>
    <n v="10.07"/>
  </r>
  <r>
    <x v="138"/>
    <x v="2"/>
    <x v="3"/>
    <s v="17-04-2011"/>
    <n v="4"/>
    <x v="0"/>
    <s v="Jonathan Doherty"/>
    <x v="1"/>
    <s v="United States"/>
    <s v="Philadelphia"/>
    <s v="Pennsylvania"/>
    <x v="3"/>
    <x v="2"/>
    <x v="7"/>
    <s v="Square Credit Card Reader, 4 1/2&quot; x 4 1/2&quot; x 1&quot;, White"/>
    <n v="71.930000000000007"/>
    <n v="12"/>
    <n v="0.4"/>
    <n v="8.39"/>
  </r>
  <r>
    <x v="139"/>
    <x v="1"/>
    <x v="4"/>
    <s v="24-12-2012"/>
    <n v="4"/>
    <x v="1"/>
    <s v="Chad Sievert"/>
    <x v="0"/>
    <s v="United States"/>
    <s v="Austin"/>
    <s v="Texas"/>
    <x v="2"/>
    <x v="1"/>
    <x v="4"/>
    <s v="Fellowes Super Stor/Drawer"/>
    <n v="88.8"/>
    <n v="4"/>
    <n v="0.2"/>
    <n v="-2.2200000000000002"/>
  </r>
  <r>
    <x v="140"/>
    <x v="3"/>
    <x v="1"/>
    <s v="20-06-2014"/>
    <n v="4"/>
    <x v="1"/>
    <s v="Clay Cheatham"/>
    <x v="0"/>
    <s v="United States"/>
    <s v="San Francisco"/>
    <s v="California"/>
    <x v="1"/>
    <x v="2"/>
    <x v="7"/>
    <s v="Anker 36W 4-Port USB Wall Charger Travel Power Adapter for iPhone 5s 5c 5"/>
    <n v="47.98"/>
    <n v="3"/>
    <n v="0.2"/>
    <n v="4.8"/>
  </r>
  <r>
    <x v="141"/>
    <x v="3"/>
    <x v="7"/>
    <s v="13-07-2014"/>
    <n v="4"/>
    <x v="1"/>
    <s v="Tamara Dahlen"/>
    <x v="0"/>
    <s v="United States"/>
    <s v="Lowell"/>
    <s v="Massachusetts"/>
    <x v="3"/>
    <x v="1"/>
    <x v="6"/>
    <s v="Binney &amp; Smith inkTank Erasable Desk Highlighter, Chisel Tip, Yellow, 12/Box"/>
    <n v="7.56"/>
    <n v="3"/>
    <n v="0"/>
    <n v="3.1"/>
  </r>
  <r>
    <x v="141"/>
    <x v="3"/>
    <x v="7"/>
    <s v="13-07-2014"/>
    <n v="4"/>
    <x v="1"/>
    <s v="Tamara Dahlen"/>
    <x v="0"/>
    <s v="United States"/>
    <s v="Lowell"/>
    <s v="Massachusetts"/>
    <x v="3"/>
    <x v="1"/>
    <x v="10"/>
    <s v="Staples"/>
    <n v="24.56"/>
    <n v="2"/>
    <n v="0"/>
    <n v="11.54"/>
  </r>
  <r>
    <x v="141"/>
    <x v="3"/>
    <x v="7"/>
    <s v="13-07-2014"/>
    <n v="4"/>
    <x v="1"/>
    <s v="Tamara Dahlen"/>
    <x v="0"/>
    <s v="United States"/>
    <s v="Lowell"/>
    <s v="Massachusetts"/>
    <x v="3"/>
    <x v="1"/>
    <x v="6"/>
    <s v="BIC Brite Liner Highlighters, Chisel Tip"/>
    <n v="12.96"/>
    <n v="2"/>
    <n v="0"/>
    <n v="4.1500000000000004"/>
  </r>
  <r>
    <x v="142"/>
    <x v="0"/>
    <x v="8"/>
    <d v="2013-04-09T00:00:00"/>
    <n v="2"/>
    <x v="2"/>
    <s v="Adam Bellavance"/>
    <x v="2"/>
    <s v="United States"/>
    <s v="New York City"/>
    <s v="New York"/>
    <x v="3"/>
    <x v="2"/>
    <x v="11"/>
    <s v="Sabrent 4-Port USB 2.0 Hub"/>
    <n v="6.79"/>
    <n v="1"/>
    <n v="0"/>
    <n v="2.31"/>
  </r>
  <r>
    <x v="142"/>
    <x v="0"/>
    <x v="8"/>
    <d v="2013-04-09T00:00:00"/>
    <n v="2"/>
    <x v="2"/>
    <s v="Adam Bellavance"/>
    <x v="2"/>
    <s v="United States"/>
    <s v="New York City"/>
    <s v="New York"/>
    <x v="3"/>
    <x v="1"/>
    <x v="10"/>
    <s v="Xerox 1881"/>
    <n v="24.56"/>
    <n v="2"/>
    <n v="0"/>
    <n v="11.54"/>
  </r>
  <r>
    <x v="142"/>
    <x v="0"/>
    <x v="8"/>
    <d v="2013-04-09T00:00:00"/>
    <n v="2"/>
    <x v="2"/>
    <s v="Adam Bellavance"/>
    <x v="2"/>
    <s v="United States"/>
    <s v="New York City"/>
    <s v="New York"/>
    <x v="3"/>
    <x v="1"/>
    <x v="8"/>
    <s v="Acco Hanging Data Binders"/>
    <n v="3.05"/>
    <n v="1"/>
    <n v="0.2"/>
    <n v="1.07"/>
  </r>
  <r>
    <x v="142"/>
    <x v="0"/>
    <x v="8"/>
    <d v="2013-04-09T00:00:00"/>
    <n v="2"/>
    <x v="2"/>
    <s v="Adam Bellavance"/>
    <x v="2"/>
    <s v="United States"/>
    <s v="New York City"/>
    <s v="New York"/>
    <x v="3"/>
    <x v="1"/>
    <x v="10"/>
    <s v="Xerox 1881"/>
    <n v="49.12"/>
    <n v="4"/>
    <n v="0"/>
    <n v="23.09"/>
  </r>
  <r>
    <x v="142"/>
    <x v="0"/>
    <x v="8"/>
    <d v="2013-04-09T00:00:00"/>
    <n v="2"/>
    <x v="2"/>
    <s v="Adam Bellavance"/>
    <x v="2"/>
    <s v="United States"/>
    <s v="New York City"/>
    <s v="New York"/>
    <x v="3"/>
    <x v="1"/>
    <x v="8"/>
    <s v="GBC DocuBind P400 Electric Binding System"/>
    <n v="4355.17"/>
    <n v="4"/>
    <n v="0.2"/>
    <n v="1415.43"/>
  </r>
  <r>
    <x v="143"/>
    <x v="0"/>
    <x v="3"/>
    <s v="14-04-2013"/>
    <n v="5"/>
    <x v="1"/>
    <s v="Jeremy Lonsdale"/>
    <x v="0"/>
    <s v="United States"/>
    <s v="New York City"/>
    <s v="New York"/>
    <x v="3"/>
    <x v="0"/>
    <x v="0"/>
    <s v="Sauder Barrister Bookcases"/>
    <n v="388.7"/>
    <n v="6"/>
    <n v="0.2"/>
    <n v="-4.8600000000000003"/>
  </r>
  <r>
    <x v="143"/>
    <x v="0"/>
    <x v="3"/>
    <s v="14-04-2013"/>
    <n v="5"/>
    <x v="1"/>
    <s v="Jeremy Lonsdale"/>
    <x v="0"/>
    <s v="United States"/>
    <s v="New York City"/>
    <s v="New York"/>
    <x v="3"/>
    <x v="1"/>
    <x v="12"/>
    <s v="#10 Gummed Flap White Envelopes, 100/Box"/>
    <n v="8.26"/>
    <n v="2"/>
    <n v="0"/>
    <n v="3.8"/>
  </r>
  <r>
    <x v="143"/>
    <x v="0"/>
    <x v="3"/>
    <s v="14-04-2013"/>
    <n v="5"/>
    <x v="1"/>
    <s v="Jeremy Lonsdale"/>
    <x v="0"/>
    <s v="United States"/>
    <s v="New York City"/>
    <s v="New York"/>
    <x v="3"/>
    <x v="1"/>
    <x v="6"/>
    <s v="Dixon Prang Watercolor Pencils, 10-Color Set with Brush"/>
    <n v="17.04"/>
    <n v="4"/>
    <n v="0"/>
    <n v="6.99"/>
  </r>
  <r>
    <x v="143"/>
    <x v="0"/>
    <x v="3"/>
    <s v="14-04-2013"/>
    <n v="5"/>
    <x v="1"/>
    <s v="Jeremy Lonsdale"/>
    <x v="0"/>
    <s v="United States"/>
    <s v="New York City"/>
    <s v="New York"/>
    <x v="3"/>
    <x v="1"/>
    <x v="10"/>
    <s v="Adams Phone Message Book, 200 Message Capacity, 8 1/16” x 11”"/>
    <n v="34.4"/>
    <n v="5"/>
    <n v="0"/>
    <n v="15.82"/>
  </r>
  <r>
    <x v="131"/>
    <x v="0"/>
    <x v="3"/>
    <s v="29-04-2013"/>
    <n v="5"/>
    <x v="1"/>
    <s v="Heather Kirkland"/>
    <x v="1"/>
    <s v="United States"/>
    <s v="Charlotte"/>
    <s v="North Carolina"/>
    <x v="0"/>
    <x v="1"/>
    <x v="10"/>
    <s v="Southworth 25% Cotton Linen-Finish Paper &amp; Envelopes"/>
    <n v="36.24"/>
    <n v="5"/>
    <n v="0.2"/>
    <n v="11.33"/>
  </r>
  <r>
    <x v="144"/>
    <x v="3"/>
    <x v="10"/>
    <d v="2014-12-03T00:00:00"/>
    <n v="3"/>
    <x v="2"/>
    <s v="Victoria Brennan"/>
    <x v="1"/>
    <s v="United States"/>
    <s v="Columbus"/>
    <s v="Georgia"/>
    <x v="0"/>
    <x v="1"/>
    <x v="9"/>
    <s v="Belkin 8 Outlet SurgeMaster II Gold Surge Protector with Phone Protection"/>
    <n v="647.84"/>
    <n v="8"/>
    <n v="0"/>
    <n v="168.44"/>
  </r>
  <r>
    <x v="144"/>
    <x v="3"/>
    <x v="10"/>
    <d v="2014-12-03T00:00:00"/>
    <n v="3"/>
    <x v="2"/>
    <s v="Victoria Brennan"/>
    <x v="1"/>
    <s v="United States"/>
    <s v="Columbus"/>
    <s v="Georgia"/>
    <x v="0"/>
    <x v="1"/>
    <x v="2"/>
    <s v="Avery Address/Shipping Labels for Typewriters, 4&quot; x 2&quot;"/>
    <n v="20.7"/>
    <n v="2"/>
    <n v="0"/>
    <n v="9.94"/>
  </r>
  <r>
    <x v="145"/>
    <x v="3"/>
    <x v="8"/>
    <d v="2014-02-10T00:00:00"/>
    <n v="6"/>
    <x v="1"/>
    <s v="Katrina Willman"/>
    <x v="0"/>
    <s v="United States"/>
    <s v="New York City"/>
    <s v="New York"/>
    <x v="3"/>
    <x v="1"/>
    <x v="2"/>
    <s v="Avery Address/Shipping Labels for Typewriters, 4&quot; x 2&quot;"/>
    <n v="20.7"/>
    <n v="2"/>
    <n v="0"/>
    <n v="9.94"/>
  </r>
  <r>
    <x v="145"/>
    <x v="3"/>
    <x v="8"/>
    <d v="2014-02-10T00:00:00"/>
    <n v="6"/>
    <x v="1"/>
    <s v="Katrina Willman"/>
    <x v="0"/>
    <s v="United States"/>
    <s v="New York City"/>
    <s v="New York"/>
    <x v="3"/>
    <x v="0"/>
    <x v="1"/>
    <s v="Global Ergonomic Managers Chair"/>
    <n v="488.65"/>
    <n v="3"/>
    <n v="0.1"/>
    <n v="86.87"/>
  </r>
  <r>
    <x v="145"/>
    <x v="3"/>
    <x v="8"/>
    <d v="2014-02-10T00:00:00"/>
    <n v="6"/>
    <x v="1"/>
    <s v="Katrina Willman"/>
    <x v="0"/>
    <s v="United States"/>
    <s v="New York City"/>
    <s v="New York"/>
    <x v="3"/>
    <x v="1"/>
    <x v="6"/>
    <s v="Newell 333"/>
    <n v="5.56"/>
    <n v="2"/>
    <n v="0"/>
    <n v="1.45"/>
  </r>
  <r>
    <x v="145"/>
    <x v="3"/>
    <x v="8"/>
    <d v="2014-02-10T00:00:00"/>
    <n v="6"/>
    <x v="1"/>
    <s v="Katrina Willman"/>
    <x v="0"/>
    <s v="United States"/>
    <s v="New York City"/>
    <s v="New York"/>
    <x v="3"/>
    <x v="0"/>
    <x v="5"/>
    <s v="Eldon Wave Desk Accessories"/>
    <n v="47.12"/>
    <n v="8"/>
    <n v="0"/>
    <n v="20.73"/>
  </r>
  <r>
    <x v="146"/>
    <x v="2"/>
    <x v="8"/>
    <s v="29-09-2011"/>
    <n v="5"/>
    <x v="1"/>
    <s v="Julia Dunbar"/>
    <x v="0"/>
    <s v="United States"/>
    <s v="San Francisco"/>
    <s v="California"/>
    <x v="1"/>
    <x v="1"/>
    <x v="4"/>
    <s v="Gould Plastics 9-Pocket Panel Bin, 18-3/8w x 5-1/4d x 20-1/2h, Black"/>
    <n v="211.96"/>
    <n v="4"/>
    <n v="0"/>
    <n v="8.48"/>
  </r>
  <r>
    <x v="147"/>
    <x v="0"/>
    <x v="2"/>
    <s v="22-10-2013"/>
    <n v="0"/>
    <x v="3"/>
    <s v="Michael Kennedy"/>
    <x v="1"/>
    <s v="United States"/>
    <s v="Manchester"/>
    <s v="Connecticut"/>
    <x v="3"/>
    <x v="1"/>
    <x v="8"/>
    <s v="Wilson Jones “Snap” Scratch Pad Binder Tool for Ring Binders"/>
    <n v="23.2"/>
    <n v="4"/>
    <n v="0"/>
    <n v="10.44"/>
  </r>
  <r>
    <x v="147"/>
    <x v="0"/>
    <x v="2"/>
    <s v="22-10-2013"/>
    <n v="0"/>
    <x v="3"/>
    <s v="Michael Kennedy"/>
    <x v="1"/>
    <s v="United States"/>
    <s v="Manchester"/>
    <s v="Connecticut"/>
    <x v="3"/>
    <x v="1"/>
    <x v="14"/>
    <s v="Staples"/>
    <n v="7.36"/>
    <n v="2"/>
    <n v="0"/>
    <n v="0.15"/>
  </r>
  <r>
    <x v="147"/>
    <x v="0"/>
    <x v="2"/>
    <s v="22-10-2013"/>
    <n v="0"/>
    <x v="3"/>
    <s v="Michael Kennedy"/>
    <x v="1"/>
    <s v="United States"/>
    <s v="Manchester"/>
    <s v="Connecticut"/>
    <x v="3"/>
    <x v="1"/>
    <x v="4"/>
    <s v="Pizazz Global Quick File"/>
    <n v="104.79"/>
    <n v="7"/>
    <n v="0"/>
    <n v="29.34"/>
  </r>
  <r>
    <x v="147"/>
    <x v="0"/>
    <x v="2"/>
    <s v="22-10-2013"/>
    <n v="0"/>
    <x v="3"/>
    <s v="Michael Kennedy"/>
    <x v="1"/>
    <s v="United States"/>
    <s v="Manchester"/>
    <s v="Connecticut"/>
    <x v="3"/>
    <x v="0"/>
    <x v="0"/>
    <s v="Atlantic Metals Mobile 3-Shelf Bookcases, Custom Colors"/>
    <n v="1043.92"/>
    <n v="4"/>
    <n v="0"/>
    <n v="271.42"/>
  </r>
  <r>
    <x v="148"/>
    <x v="3"/>
    <x v="5"/>
    <d v="2014-05-06T00:00:00"/>
    <n v="6"/>
    <x v="1"/>
    <s v="Guy Thornton"/>
    <x v="0"/>
    <s v="United States"/>
    <s v="Harlingen"/>
    <s v="Texas"/>
    <x v="2"/>
    <x v="1"/>
    <x v="10"/>
    <s v="Xerox 1930"/>
    <n v="25.92"/>
    <n v="5"/>
    <n v="0.2"/>
    <n v="9.4"/>
  </r>
  <r>
    <x v="148"/>
    <x v="3"/>
    <x v="5"/>
    <d v="2014-05-06T00:00:00"/>
    <n v="6"/>
    <x v="1"/>
    <s v="Guy Thornton"/>
    <x v="0"/>
    <s v="United States"/>
    <s v="Harlingen"/>
    <s v="Texas"/>
    <x v="2"/>
    <x v="1"/>
    <x v="4"/>
    <s v="File Shuttle I and Handi-File"/>
    <n v="53.42"/>
    <n v="3"/>
    <n v="0.2"/>
    <n v="4.67"/>
  </r>
  <r>
    <x v="149"/>
    <x v="2"/>
    <x v="7"/>
    <s v="27-07-2011"/>
    <n v="4"/>
    <x v="1"/>
    <s v="Arthur Gainer"/>
    <x v="0"/>
    <s v="United States"/>
    <s v="Tucson"/>
    <s v="Arizona"/>
    <x v="1"/>
    <x v="1"/>
    <x v="8"/>
    <s v="Wilson Jones Custom Binder Spines &amp; Labels"/>
    <n v="8.16"/>
    <n v="5"/>
    <n v="0.7"/>
    <n v="-5.71"/>
  </r>
  <r>
    <x v="149"/>
    <x v="2"/>
    <x v="7"/>
    <s v="27-07-2011"/>
    <n v="4"/>
    <x v="1"/>
    <s v="Arthur Gainer"/>
    <x v="0"/>
    <s v="United States"/>
    <s v="Tucson"/>
    <s v="Arizona"/>
    <x v="1"/>
    <x v="2"/>
    <x v="11"/>
    <s v="NETGEAR AC1750 Dual Band Gigabit Smart WiFi Router"/>
    <n v="1023.94"/>
    <n v="8"/>
    <n v="0.2"/>
    <n v="179.19"/>
  </r>
  <r>
    <x v="149"/>
    <x v="2"/>
    <x v="7"/>
    <s v="27-07-2011"/>
    <n v="4"/>
    <x v="1"/>
    <s v="Arthur Gainer"/>
    <x v="0"/>
    <s v="United States"/>
    <s v="Tucson"/>
    <s v="Arizona"/>
    <x v="1"/>
    <x v="1"/>
    <x v="6"/>
    <s v="Newell 324"/>
    <n v="9.24"/>
    <n v="1"/>
    <n v="0.2"/>
    <n v="0.92"/>
  </r>
  <r>
    <x v="149"/>
    <x v="2"/>
    <x v="7"/>
    <s v="27-07-2011"/>
    <n v="4"/>
    <x v="1"/>
    <s v="Arthur Gainer"/>
    <x v="0"/>
    <s v="United States"/>
    <s v="Tucson"/>
    <s v="Arizona"/>
    <x v="1"/>
    <x v="2"/>
    <x v="11"/>
    <s v="Microsoft Natural Keyboard Elite"/>
    <n v="479.04"/>
    <n v="10"/>
    <n v="0.2"/>
    <n v="-29.94"/>
  </r>
  <r>
    <x v="150"/>
    <x v="0"/>
    <x v="8"/>
    <d v="2013-02-10T00:00:00"/>
    <n v="3"/>
    <x v="2"/>
    <s v="Muhammed MacIntyre"/>
    <x v="1"/>
    <s v="United States"/>
    <s v="Quincy"/>
    <s v="Illinois"/>
    <x v="2"/>
    <x v="1"/>
    <x v="10"/>
    <s v="Xerox 1960"/>
    <n v="99.14"/>
    <n v="4"/>
    <n v="0.2"/>
    <n v="30.98"/>
  </r>
  <r>
    <x v="151"/>
    <x v="3"/>
    <x v="6"/>
    <d v="2014-02-09T00:00:00"/>
    <n v="5"/>
    <x v="1"/>
    <s v="Allen Rosenblatt"/>
    <x v="1"/>
    <s v="United States"/>
    <s v="Franklin"/>
    <s v="Massachusetts"/>
    <x v="3"/>
    <x v="0"/>
    <x v="3"/>
    <s v="Office Impressions End Table, 20-1/2&quot;H x 24&quot;W x 20&quot;D"/>
    <n v="1488.42"/>
    <n v="7"/>
    <n v="0.3"/>
    <n v="-297.68"/>
  </r>
  <r>
    <x v="152"/>
    <x v="1"/>
    <x v="3"/>
    <d v="2012-05-05T00:00:00"/>
    <n v="7"/>
    <x v="1"/>
    <s v="Russell Applegate"/>
    <x v="0"/>
    <s v="United States"/>
    <s v="Houston"/>
    <s v="Texas"/>
    <x v="2"/>
    <x v="1"/>
    <x v="9"/>
    <s v="Holmes Odor Grabber"/>
    <n v="8.65"/>
    <n v="3"/>
    <n v="0.8"/>
    <n v="-20.329999999999998"/>
  </r>
  <r>
    <x v="152"/>
    <x v="1"/>
    <x v="3"/>
    <d v="2012-05-05T00:00:00"/>
    <n v="7"/>
    <x v="1"/>
    <s v="Russell Applegate"/>
    <x v="0"/>
    <s v="United States"/>
    <s v="Houston"/>
    <s v="Texas"/>
    <x v="2"/>
    <x v="1"/>
    <x v="4"/>
    <s v="Akro-Mils 12-Gallon Tote"/>
    <n v="23.83"/>
    <n v="3"/>
    <n v="0.2"/>
    <n v="2.68"/>
  </r>
  <r>
    <x v="152"/>
    <x v="1"/>
    <x v="3"/>
    <d v="2012-05-05T00:00:00"/>
    <n v="7"/>
    <x v="1"/>
    <s v="Russell Applegate"/>
    <x v="0"/>
    <s v="United States"/>
    <s v="Houston"/>
    <s v="Texas"/>
    <x v="2"/>
    <x v="1"/>
    <x v="8"/>
    <s v="GBC Twin Loop Wire Binding Elements, 9/16&quot; Spine, Black"/>
    <n v="12.18"/>
    <n v="4"/>
    <n v="0.8"/>
    <n v="-18.87"/>
  </r>
  <r>
    <x v="99"/>
    <x v="0"/>
    <x v="2"/>
    <s v="30-10-2013"/>
    <n v="1"/>
    <x v="2"/>
    <s v="Alejandro Savely"/>
    <x v="1"/>
    <s v="United States"/>
    <s v="San Francisco"/>
    <s v="California"/>
    <x v="1"/>
    <x v="1"/>
    <x v="10"/>
    <s v="Southworth Structures Collection"/>
    <n v="50.96"/>
    <n v="7"/>
    <n v="0"/>
    <n v="25.48"/>
  </r>
  <r>
    <x v="99"/>
    <x v="0"/>
    <x v="2"/>
    <s v="30-10-2013"/>
    <n v="1"/>
    <x v="2"/>
    <s v="Alejandro Savely"/>
    <x v="1"/>
    <s v="United States"/>
    <s v="San Francisco"/>
    <s v="California"/>
    <x v="1"/>
    <x v="1"/>
    <x v="8"/>
    <s v="Square Ring Data Binders, Rigid 75 Pt. Covers, 11&quot; x 14-7/8&quot;"/>
    <n v="49.54"/>
    <n v="3"/>
    <n v="0.2"/>
    <n v="17.34"/>
  </r>
  <r>
    <x v="153"/>
    <x v="1"/>
    <x v="1"/>
    <s v="29-06-2012"/>
    <n v="3"/>
    <x v="0"/>
    <s v="Laura Armstrong"/>
    <x v="1"/>
    <s v="United States"/>
    <s v="Taylor"/>
    <s v="Michigan"/>
    <x v="2"/>
    <x v="2"/>
    <x v="11"/>
    <s v="Sony 32GB Class 10 Micro SDHC R40 Memory Card"/>
    <n v="41.9"/>
    <n v="2"/>
    <n v="0"/>
    <n v="8.8000000000000007"/>
  </r>
  <r>
    <x v="154"/>
    <x v="1"/>
    <x v="0"/>
    <d v="2012-02-12T00:00:00"/>
    <n v="5"/>
    <x v="1"/>
    <s v="Denny Ordway"/>
    <x v="0"/>
    <s v="United States"/>
    <s v="Pembroke Pines"/>
    <s v="Florida"/>
    <x v="0"/>
    <x v="0"/>
    <x v="3"/>
    <s v="Hon Practical Foundations 30 x 60 Training Table, Light Gray/Charcoal"/>
    <n v="375.46"/>
    <n v="3"/>
    <n v="0.45"/>
    <n v="-157.01"/>
  </r>
  <r>
    <x v="154"/>
    <x v="1"/>
    <x v="0"/>
    <d v="2012-02-12T00:00:00"/>
    <n v="5"/>
    <x v="1"/>
    <s v="Denny Ordway"/>
    <x v="0"/>
    <s v="United States"/>
    <s v="Pembroke Pines"/>
    <s v="Florida"/>
    <x v="0"/>
    <x v="2"/>
    <x v="11"/>
    <s v="Logitech Media Keyboard K200"/>
    <n v="83.98"/>
    <n v="3"/>
    <n v="0.2"/>
    <n v="-1.05"/>
  </r>
  <r>
    <x v="155"/>
    <x v="1"/>
    <x v="4"/>
    <d v="2012-07-12T00:00:00"/>
    <n v="4"/>
    <x v="1"/>
    <s v="Dean Katz"/>
    <x v="1"/>
    <s v="United States"/>
    <s v="Philadelphia"/>
    <s v="Pennsylvania"/>
    <x v="3"/>
    <x v="2"/>
    <x v="15"/>
    <s v="Lexmark MarkNet N8150 Wireless Print Server"/>
    <n v="482.34"/>
    <n v="4"/>
    <n v="0.7"/>
    <n v="-337.64"/>
  </r>
  <r>
    <x v="155"/>
    <x v="1"/>
    <x v="4"/>
    <d v="2012-07-12T00:00:00"/>
    <n v="4"/>
    <x v="1"/>
    <s v="Dean Katz"/>
    <x v="1"/>
    <s v="United States"/>
    <s v="Philadelphia"/>
    <s v="Pennsylvania"/>
    <x v="3"/>
    <x v="0"/>
    <x v="5"/>
    <s v="3M Hangers With Command Adhesive"/>
    <n v="2.96"/>
    <n v="1"/>
    <n v="0.2"/>
    <n v="0.78"/>
  </r>
  <r>
    <x v="156"/>
    <x v="2"/>
    <x v="0"/>
    <s v="26-11-2011"/>
    <n v="2"/>
    <x v="2"/>
    <s v="Nathan Gelder"/>
    <x v="0"/>
    <s v="United States"/>
    <s v="Cincinnati"/>
    <s v="Ohio"/>
    <x v="3"/>
    <x v="1"/>
    <x v="6"/>
    <s v="Crayola Colored Pencils"/>
    <n v="2.62"/>
    <n v="1"/>
    <n v="0.2"/>
    <n v="0.43"/>
  </r>
  <r>
    <x v="157"/>
    <x v="3"/>
    <x v="4"/>
    <s v="16-12-2014"/>
    <n v="4"/>
    <x v="1"/>
    <s v="Mike Vittorini"/>
    <x v="0"/>
    <s v="United States"/>
    <s v="New York City"/>
    <s v="New York"/>
    <x v="3"/>
    <x v="1"/>
    <x v="8"/>
    <s v="Angle-D Binders with Locking Rings, Label Holders"/>
    <n v="23.36"/>
    <n v="4"/>
    <n v="0.2"/>
    <n v="7.88"/>
  </r>
  <r>
    <x v="157"/>
    <x v="3"/>
    <x v="4"/>
    <s v="16-12-2014"/>
    <n v="4"/>
    <x v="1"/>
    <s v="Mike Vittorini"/>
    <x v="0"/>
    <s v="United States"/>
    <s v="New York City"/>
    <s v="New York"/>
    <x v="3"/>
    <x v="2"/>
    <x v="11"/>
    <s v="Logitech LS21 Speaker System - PC Multimedia - 2.1-CH - Wired"/>
    <n v="39.979999999999997"/>
    <n v="2"/>
    <n v="0"/>
    <n v="13.59"/>
  </r>
  <r>
    <x v="158"/>
    <x v="2"/>
    <x v="8"/>
    <s v="23-09-2011"/>
    <n v="2"/>
    <x v="0"/>
    <s v="Jack Garza"/>
    <x v="0"/>
    <s v="United States"/>
    <s v="Des Moines"/>
    <s v="Washington"/>
    <x v="1"/>
    <x v="2"/>
    <x v="7"/>
    <s v="Nortel Meridian M3904 Professional Digital phone"/>
    <n v="246.38"/>
    <n v="2"/>
    <n v="0.2"/>
    <n v="27.72"/>
  </r>
  <r>
    <x v="158"/>
    <x v="2"/>
    <x v="8"/>
    <s v="23-09-2011"/>
    <n v="2"/>
    <x v="0"/>
    <s v="Jack Garza"/>
    <x v="0"/>
    <s v="United States"/>
    <s v="Des Moines"/>
    <s v="Washington"/>
    <x v="1"/>
    <x v="2"/>
    <x v="16"/>
    <s v="Canon PC1080F Personal Copier"/>
    <n v="1799.97"/>
    <n v="3"/>
    <n v="0"/>
    <n v="701.99"/>
  </r>
  <r>
    <x v="159"/>
    <x v="2"/>
    <x v="1"/>
    <d v="2011-10-06T00:00:00"/>
    <n v="3"/>
    <x v="0"/>
    <s v="Bart Pistole"/>
    <x v="1"/>
    <s v="United States"/>
    <s v="Peoria"/>
    <s v="Illinois"/>
    <x v="2"/>
    <x v="1"/>
    <x v="8"/>
    <s v="Wilson Jones Century Plastic Molded Ring Binders"/>
    <n v="12.46"/>
    <n v="3"/>
    <n v="0.8"/>
    <n v="-20.56"/>
  </r>
  <r>
    <x v="160"/>
    <x v="3"/>
    <x v="7"/>
    <d v="2014-06-07T00:00:00"/>
    <n v="5"/>
    <x v="1"/>
    <s v="Victor Preis"/>
    <x v="2"/>
    <s v="United States"/>
    <s v="Las Vegas"/>
    <s v="Nevada"/>
    <x v="1"/>
    <x v="1"/>
    <x v="8"/>
    <s v="Tuf-Vin Binders"/>
    <n v="75.790000000000006"/>
    <n v="3"/>
    <n v="0.2"/>
    <n v="25.58"/>
  </r>
  <r>
    <x v="161"/>
    <x v="3"/>
    <x v="2"/>
    <s v="20-10-2014"/>
    <n v="2"/>
    <x v="0"/>
    <s v="Saphhira Shifley"/>
    <x v="1"/>
    <s v="United States"/>
    <s v="Warwick"/>
    <s v="Rhode Island"/>
    <x v="3"/>
    <x v="1"/>
    <x v="4"/>
    <s v="2300 Heavy-Duty Transfer File Systems by Perma"/>
    <n v="49.96"/>
    <n v="2"/>
    <n v="0"/>
    <n v="9.49"/>
  </r>
  <r>
    <x v="161"/>
    <x v="3"/>
    <x v="2"/>
    <s v="20-10-2014"/>
    <n v="2"/>
    <x v="0"/>
    <s v="Saphhira Shifley"/>
    <x v="1"/>
    <s v="United States"/>
    <s v="Warwick"/>
    <s v="Rhode Island"/>
    <x v="3"/>
    <x v="1"/>
    <x v="10"/>
    <s v="Xerox 1958"/>
    <n v="12.96"/>
    <n v="2"/>
    <n v="0"/>
    <n v="6.22"/>
  </r>
  <r>
    <x v="89"/>
    <x v="1"/>
    <x v="2"/>
    <d v="2012-04-11T00:00:00"/>
    <n v="4"/>
    <x v="1"/>
    <s v="Harold Pawlan"/>
    <x v="2"/>
    <s v="United States"/>
    <s v="Jackson"/>
    <s v="Michigan"/>
    <x v="2"/>
    <x v="1"/>
    <x v="14"/>
    <s v="Acme 10&quot; Easy Grip Assistive Scissors"/>
    <n v="70.12"/>
    <n v="4"/>
    <n v="0"/>
    <n v="21.04"/>
  </r>
  <r>
    <x v="162"/>
    <x v="0"/>
    <x v="8"/>
    <d v="2013-11-09T00:00:00"/>
    <n v="2"/>
    <x v="0"/>
    <s v="Anna Gayman"/>
    <x v="0"/>
    <s v="United States"/>
    <s v="Houston"/>
    <s v="Texas"/>
    <x v="2"/>
    <x v="1"/>
    <x v="4"/>
    <s v="Super Decoflex Portable Personal File"/>
    <n v="35.950000000000003"/>
    <n v="3"/>
    <n v="0.2"/>
    <n v="3.6"/>
  </r>
  <r>
    <x v="162"/>
    <x v="0"/>
    <x v="8"/>
    <d v="2013-11-09T00:00:00"/>
    <n v="2"/>
    <x v="0"/>
    <s v="Anna Gayman"/>
    <x v="0"/>
    <s v="United States"/>
    <s v="Houston"/>
    <s v="Texas"/>
    <x v="2"/>
    <x v="0"/>
    <x v="0"/>
    <s v="Riverside Palais Royal Lawyers Bookcase, Royale Cherry Finish"/>
    <n v="2396.27"/>
    <n v="4"/>
    <n v="0.32"/>
    <n v="-317.14999999999998"/>
  </r>
  <r>
    <x v="162"/>
    <x v="0"/>
    <x v="8"/>
    <d v="2013-11-09T00:00:00"/>
    <n v="2"/>
    <x v="0"/>
    <s v="Anna Gayman"/>
    <x v="0"/>
    <s v="United States"/>
    <s v="Houston"/>
    <s v="Texas"/>
    <x v="2"/>
    <x v="1"/>
    <x v="4"/>
    <s v="Contico 72&quot;H Heavy-Duty Storage System"/>
    <n v="131.13999999999999"/>
    <n v="4"/>
    <n v="0.2"/>
    <n v="-32.78"/>
  </r>
  <r>
    <x v="162"/>
    <x v="0"/>
    <x v="8"/>
    <d v="2013-11-09T00:00:00"/>
    <n v="2"/>
    <x v="0"/>
    <s v="Anna Gayman"/>
    <x v="0"/>
    <s v="United States"/>
    <s v="Houston"/>
    <s v="Texas"/>
    <x v="2"/>
    <x v="2"/>
    <x v="11"/>
    <s v="Sony 64GB Class 10 Micro SDHC R40 Memory Card"/>
    <n v="57.58"/>
    <n v="2"/>
    <n v="0.2"/>
    <n v="0.72"/>
  </r>
  <r>
    <x v="163"/>
    <x v="2"/>
    <x v="4"/>
    <s v="26-12-2011"/>
    <n v="2"/>
    <x v="2"/>
    <s v="Luke Foster"/>
    <x v="0"/>
    <s v="United States"/>
    <s v="Miami"/>
    <s v="Florida"/>
    <x v="0"/>
    <x v="1"/>
    <x v="10"/>
    <s v="Xerox 1974"/>
    <n v="9.57"/>
    <n v="2"/>
    <n v="0.2"/>
    <n v="3.47"/>
  </r>
  <r>
    <x v="164"/>
    <x v="2"/>
    <x v="3"/>
    <s v="20-04-2011"/>
    <n v="4"/>
    <x v="1"/>
    <s v="Stephanie Phelps"/>
    <x v="1"/>
    <s v="United States"/>
    <s v="Wilmington"/>
    <s v="North Carolina"/>
    <x v="0"/>
    <x v="1"/>
    <x v="6"/>
    <s v="Avery Hi-Liter EverBold Pen Style Fluorescent Highlighters, 4/Pack"/>
    <n v="39.07"/>
    <n v="6"/>
    <n v="0.2"/>
    <n v="9.77"/>
  </r>
  <r>
    <x v="165"/>
    <x v="3"/>
    <x v="4"/>
    <s v="30-12-2014"/>
    <n v="5"/>
    <x v="1"/>
    <s v="Roy Französisch"/>
    <x v="0"/>
    <s v="United States"/>
    <s v="New York City"/>
    <s v="New York"/>
    <x v="3"/>
    <x v="1"/>
    <x v="9"/>
    <s v="Staples"/>
    <n v="35.909999999999997"/>
    <n v="3"/>
    <n v="0"/>
    <n v="9.6999999999999993"/>
  </r>
  <r>
    <x v="166"/>
    <x v="3"/>
    <x v="4"/>
    <s v="13-12-2014"/>
    <n v="4"/>
    <x v="1"/>
    <s v="Keith Herrera"/>
    <x v="0"/>
    <s v="United States"/>
    <s v="San Francisco"/>
    <s v="California"/>
    <x v="1"/>
    <x v="2"/>
    <x v="11"/>
    <s v="Sony 64GB Class 10 Micro SDHC R40 Memory Card"/>
    <n v="179.95"/>
    <n v="5"/>
    <n v="0"/>
    <n v="37.79"/>
  </r>
  <r>
    <x v="166"/>
    <x v="3"/>
    <x v="4"/>
    <s v="13-12-2014"/>
    <n v="4"/>
    <x v="1"/>
    <s v="Keith Herrera"/>
    <x v="0"/>
    <s v="United States"/>
    <s v="San Francisco"/>
    <s v="California"/>
    <x v="1"/>
    <x v="2"/>
    <x v="16"/>
    <s v="Sharp AL-1530CS Digital Copier"/>
    <n v="1199.98"/>
    <n v="3"/>
    <n v="0.2"/>
    <n v="434.99"/>
  </r>
  <r>
    <x v="166"/>
    <x v="3"/>
    <x v="4"/>
    <s v="13-12-2014"/>
    <n v="4"/>
    <x v="1"/>
    <s v="Keith Herrera"/>
    <x v="0"/>
    <s v="United States"/>
    <s v="San Francisco"/>
    <s v="California"/>
    <x v="1"/>
    <x v="1"/>
    <x v="10"/>
    <s v="Wirebound Message Book, 4 per Page"/>
    <n v="27.15"/>
    <n v="5"/>
    <n v="0"/>
    <n v="13.3"/>
  </r>
  <r>
    <x v="166"/>
    <x v="3"/>
    <x v="4"/>
    <s v="13-12-2014"/>
    <n v="4"/>
    <x v="1"/>
    <s v="Keith Herrera"/>
    <x v="0"/>
    <s v="United States"/>
    <s v="San Francisco"/>
    <s v="California"/>
    <x v="1"/>
    <x v="0"/>
    <x v="3"/>
    <s v="Bevis Round Conference Table Top, X-Base"/>
    <n v="1004.02"/>
    <n v="7"/>
    <n v="0.2"/>
    <n v="-112.95"/>
  </r>
  <r>
    <x v="166"/>
    <x v="3"/>
    <x v="4"/>
    <s v="13-12-2014"/>
    <n v="4"/>
    <x v="1"/>
    <s v="Keith Herrera"/>
    <x v="0"/>
    <s v="United States"/>
    <s v="San Francisco"/>
    <s v="California"/>
    <x v="1"/>
    <x v="1"/>
    <x v="10"/>
    <s v="Wirebound Service Call Books, 5 1/2&quot; x 4&quot;"/>
    <n v="9.68"/>
    <n v="1"/>
    <n v="0"/>
    <n v="4.6500000000000004"/>
  </r>
  <r>
    <x v="166"/>
    <x v="3"/>
    <x v="4"/>
    <s v="13-12-2014"/>
    <n v="4"/>
    <x v="1"/>
    <s v="Keith Herrera"/>
    <x v="0"/>
    <s v="United States"/>
    <s v="San Francisco"/>
    <s v="California"/>
    <x v="1"/>
    <x v="1"/>
    <x v="2"/>
    <s v="Self-Adhesive Removable Labels"/>
    <n v="28.35"/>
    <n v="9"/>
    <n v="0"/>
    <n v="13.61"/>
  </r>
  <r>
    <x v="166"/>
    <x v="3"/>
    <x v="4"/>
    <s v="13-12-2014"/>
    <n v="4"/>
    <x v="1"/>
    <s v="Keith Herrera"/>
    <x v="0"/>
    <s v="United States"/>
    <s v="San Francisco"/>
    <s v="California"/>
    <x v="1"/>
    <x v="1"/>
    <x v="10"/>
    <s v="Xerox 1908"/>
    <n v="55.98"/>
    <n v="1"/>
    <n v="0"/>
    <n v="27.43"/>
  </r>
  <r>
    <x v="166"/>
    <x v="3"/>
    <x v="4"/>
    <s v="13-12-2014"/>
    <n v="4"/>
    <x v="1"/>
    <s v="Keith Herrera"/>
    <x v="0"/>
    <s v="United States"/>
    <s v="San Francisco"/>
    <s v="California"/>
    <x v="1"/>
    <x v="0"/>
    <x v="0"/>
    <s v="O'Sullivan 4-Shelf Bookcase in Odessa Pine"/>
    <n v="1336.83"/>
    <n v="13"/>
    <n v="0.15"/>
    <n v="31.45"/>
  </r>
  <r>
    <x v="166"/>
    <x v="3"/>
    <x v="4"/>
    <s v="13-12-2014"/>
    <n v="4"/>
    <x v="1"/>
    <s v="Keith Herrera"/>
    <x v="0"/>
    <s v="United States"/>
    <s v="San Francisco"/>
    <s v="California"/>
    <x v="1"/>
    <x v="0"/>
    <x v="1"/>
    <s v="Novimex High-Tech Fabric Mesh Task Chair"/>
    <n v="113.57"/>
    <n v="2"/>
    <n v="0.2"/>
    <n v="-18.45"/>
  </r>
  <r>
    <x v="132"/>
    <x v="3"/>
    <x v="0"/>
    <d v="2014-08-11T00:00:00"/>
    <n v="4"/>
    <x v="1"/>
    <s v="Kimberly Carter"/>
    <x v="1"/>
    <s v="United States"/>
    <s v="Seattle"/>
    <s v="Washington"/>
    <x v="1"/>
    <x v="1"/>
    <x v="10"/>
    <s v="Xerox 191"/>
    <n v="139.86000000000001"/>
    <n v="7"/>
    <n v="0"/>
    <n v="65.73"/>
  </r>
  <r>
    <x v="132"/>
    <x v="3"/>
    <x v="0"/>
    <d v="2014-08-11T00:00:00"/>
    <n v="4"/>
    <x v="1"/>
    <s v="Kimberly Carter"/>
    <x v="1"/>
    <s v="United States"/>
    <s v="Seattle"/>
    <s v="Washington"/>
    <x v="1"/>
    <x v="0"/>
    <x v="1"/>
    <s v="Global Deluxe Office Fabric Chairs"/>
    <n v="307.14"/>
    <n v="4"/>
    <n v="0.2"/>
    <n v="26.87"/>
  </r>
  <r>
    <x v="92"/>
    <x v="3"/>
    <x v="1"/>
    <s v="29-06-2014"/>
    <n v="4"/>
    <x v="1"/>
    <s v="Caroline Jumper"/>
    <x v="0"/>
    <s v="United States"/>
    <s v="Huntington Beach"/>
    <s v="California"/>
    <x v="1"/>
    <x v="1"/>
    <x v="6"/>
    <s v="Bulldog Vacuum Base Pencil Sharpener"/>
    <n v="95.92"/>
    <n v="8"/>
    <n v="0"/>
    <n v="25.9"/>
  </r>
  <r>
    <x v="167"/>
    <x v="0"/>
    <x v="3"/>
    <s v="19-04-2013"/>
    <n v="4"/>
    <x v="1"/>
    <s v="Philip Brown"/>
    <x v="0"/>
    <s v="United States"/>
    <s v="Los Angeles"/>
    <s v="California"/>
    <x v="1"/>
    <x v="0"/>
    <x v="1"/>
    <s v="Bevis Steel Folding Chairs"/>
    <n v="383.8"/>
    <n v="5"/>
    <n v="0.2"/>
    <n v="38.380000000000003"/>
  </r>
  <r>
    <x v="44"/>
    <x v="3"/>
    <x v="0"/>
    <d v="2014-11-11T00:00:00"/>
    <n v="4"/>
    <x v="1"/>
    <s v="Victoria Brennan"/>
    <x v="1"/>
    <s v="United States"/>
    <s v="Richmond"/>
    <s v="Kentucky"/>
    <x v="0"/>
    <x v="1"/>
    <x v="10"/>
    <s v="Xerox 1987"/>
    <n v="5.78"/>
    <n v="1"/>
    <n v="0"/>
    <n v="2.83"/>
  </r>
  <r>
    <x v="168"/>
    <x v="3"/>
    <x v="10"/>
    <d v="2014-10-03T00:00:00"/>
    <n v="5"/>
    <x v="1"/>
    <s v="Sung Pak"/>
    <x v="1"/>
    <s v="United States"/>
    <s v="Los Angeles"/>
    <s v="California"/>
    <x v="1"/>
    <x v="1"/>
    <x v="6"/>
    <s v="American Pencil"/>
    <n v="9.32"/>
    <n v="4"/>
    <n v="0"/>
    <n v="2.7"/>
  </r>
  <r>
    <x v="168"/>
    <x v="3"/>
    <x v="10"/>
    <d v="2014-10-03T00:00:00"/>
    <n v="5"/>
    <x v="1"/>
    <s v="Sung Pak"/>
    <x v="1"/>
    <s v="United States"/>
    <s v="Los Angeles"/>
    <s v="California"/>
    <x v="1"/>
    <x v="1"/>
    <x v="12"/>
    <s v="White Envelopes, White Envelopes with Clear Poly Window"/>
    <n v="15.25"/>
    <n v="1"/>
    <n v="0"/>
    <n v="7.02"/>
  </r>
  <r>
    <x v="169"/>
    <x v="2"/>
    <x v="1"/>
    <s v="25-06-2011"/>
    <n v="3"/>
    <x v="2"/>
    <s v="Joel Eaton"/>
    <x v="0"/>
    <s v="United States"/>
    <s v="Louisville"/>
    <s v="Colorado"/>
    <x v="1"/>
    <x v="2"/>
    <x v="11"/>
    <s v="KeyTronic 6101 Series - Keyboard - Black"/>
    <n v="196.75"/>
    <n v="6"/>
    <n v="0.2"/>
    <n v="56.57"/>
  </r>
  <r>
    <x v="15"/>
    <x v="3"/>
    <x v="2"/>
    <s v="24-10-2014"/>
    <n v="4"/>
    <x v="1"/>
    <s v="Michael Paige"/>
    <x v="1"/>
    <s v="United States"/>
    <s v="Lawrence"/>
    <s v="Massachusetts"/>
    <x v="3"/>
    <x v="0"/>
    <x v="5"/>
    <s v="Westinghouse Mesh Shade Clip-On Gooseneck Lamp, Black"/>
    <n v="56.56"/>
    <n v="4"/>
    <n v="0"/>
    <n v="14.71"/>
  </r>
  <r>
    <x v="15"/>
    <x v="3"/>
    <x v="2"/>
    <s v="24-10-2014"/>
    <n v="4"/>
    <x v="1"/>
    <s v="Michael Paige"/>
    <x v="1"/>
    <s v="United States"/>
    <s v="Lawrence"/>
    <s v="Massachusetts"/>
    <x v="3"/>
    <x v="1"/>
    <x v="4"/>
    <s v="Crate-A-Files"/>
    <n v="32.700000000000003"/>
    <n v="3"/>
    <n v="0"/>
    <n v="8.5"/>
  </r>
  <r>
    <x v="170"/>
    <x v="3"/>
    <x v="6"/>
    <s v="24-08-2014"/>
    <n v="2"/>
    <x v="0"/>
    <s v="Natalie Fritzler"/>
    <x v="0"/>
    <s v="United States"/>
    <s v="Jackson"/>
    <s v="Mississippi"/>
    <x v="0"/>
    <x v="0"/>
    <x v="1"/>
    <s v="Hon Multipurpose Stacking Arm Chairs"/>
    <n v="866.4"/>
    <n v="4"/>
    <n v="0"/>
    <n v="225.26"/>
  </r>
  <r>
    <x v="51"/>
    <x v="3"/>
    <x v="0"/>
    <s v="27-11-2014"/>
    <n v="3"/>
    <x v="0"/>
    <s v="Janet Molinari"/>
    <x v="1"/>
    <s v="United States"/>
    <s v="Canton"/>
    <s v="Michigan"/>
    <x v="2"/>
    <x v="0"/>
    <x v="5"/>
    <s v="Coloredge Poster Frame"/>
    <n v="28.4"/>
    <n v="2"/>
    <n v="0"/>
    <n v="11.08"/>
  </r>
  <r>
    <x v="51"/>
    <x v="3"/>
    <x v="0"/>
    <s v="27-11-2014"/>
    <n v="3"/>
    <x v="0"/>
    <s v="Janet Molinari"/>
    <x v="1"/>
    <s v="United States"/>
    <s v="Canton"/>
    <s v="Michigan"/>
    <x v="2"/>
    <x v="1"/>
    <x v="8"/>
    <s v="GBC VeloBinder Manual Binding System"/>
    <n v="287.92"/>
    <n v="8"/>
    <n v="0"/>
    <n v="138.19999999999999"/>
  </r>
  <r>
    <x v="171"/>
    <x v="2"/>
    <x v="8"/>
    <s v="13-09-2011"/>
    <n v="1"/>
    <x v="2"/>
    <s v="Shirley Daniels"/>
    <x v="2"/>
    <s v="United States"/>
    <s v="New Rochelle"/>
    <s v="New York"/>
    <x v="3"/>
    <x v="2"/>
    <x v="15"/>
    <s v="Epson WorkForce WF-2530 All-in-One Printer, Copier Scanner"/>
    <n v="69.989999999999995"/>
    <n v="1"/>
    <n v="0"/>
    <n v="30.1"/>
  </r>
  <r>
    <x v="172"/>
    <x v="3"/>
    <x v="2"/>
    <d v="2014-09-10T00:00:00"/>
    <n v="7"/>
    <x v="1"/>
    <s v="Ken Heidel"/>
    <x v="1"/>
    <s v="United States"/>
    <s v="San Antonio"/>
    <s v="Texas"/>
    <x v="2"/>
    <x v="1"/>
    <x v="6"/>
    <s v="Design Ebony Sketching Pencil"/>
    <n v="6.67"/>
    <n v="6"/>
    <n v="0.2"/>
    <n v="0.5"/>
  </r>
  <r>
    <x v="173"/>
    <x v="0"/>
    <x v="3"/>
    <s v="22-04-2013"/>
    <n v="6"/>
    <x v="1"/>
    <s v="Ross Baird"/>
    <x v="2"/>
    <s v="United States"/>
    <s v="Gastonia"/>
    <s v="North Carolina"/>
    <x v="0"/>
    <x v="1"/>
    <x v="8"/>
    <s v="GBC ProClick 150 Presentation Binding System"/>
    <n v="189.59"/>
    <n v="2"/>
    <n v="0.7"/>
    <n v="-145.35"/>
  </r>
  <r>
    <x v="173"/>
    <x v="0"/>
    <x v="3"/>
    <s v="22-04-2013"/>
    <n v="6"/>
    <x v="1"/>
    <s v="Ross Baird"/>
    <x v="2"/>
    <s v="United States"/>
    <s v="Gastonia"/>
    <s v="North Carolina"/>
    <x v="0"/>
    <x v="2"/>
    <x v="11"/>
    <s v="Imation Secure+ Hardware Encrypted USB 2.0 Flash Drive; 16GB"/>
    <n v="408.74"/>
    <n v="7"/>
    <n v="0.2"/>
    <n v="76.64"/>
  </r>
  <r>
    <x v="173"/>
    <x v="0"/>
    <x v="3"/>
    <s v="22-04-2013"/>
    <n v="6"/>
    <x v="1"/>
    <s v="Ross Baird"/>
    <x v="2"/>
    <s v="United States"/>
    <s v="Gastonia"/>
    <s v="North Carolina"/>
    <x v="0"/>
    <x v="2"/>
    <x v="11"/>
    <s v="Imation Secure+ Hardware Encrypted USB 2.0 Flash Drive; 16GB"/>
    <n v="291.95999999999998"/>
    <n v="5"/>
    <n v="0.2"/>
    <n v="54.74"/>
  </r>
  <r>
    <x v="173"/>
    <x v="0"/>
    <x v="3"/>
    <s v="22-04-2013"/>
    <n v="6"/>
    <x v="1"/>
    <s v="Ross Baird"/>
    <x v="2"/>
    <s v="United States"/>
    <s v="Gastonia"/>
    <s v="North Carolina"/>
    <x v="0"/>
    <x v="1"/>
    <x v="4"/>
    <s v="Woodgrain Magazine Files by Perma"/>
    <n v="4.7699999999999996"/>
    <n v="2"/>
    <n v="0.2"/>
    <n v="-0.77"/>
  </r>
  <r>
    <x v="112"/>
    <x v="0"/>
    <x v="1"/>
    <d v="2013-08-06T00:00:00"/>
    <n v="1"/>
    <x v="2"/>
    <s v="Dave Brooks"/>
    <x v="0"/>
    <s v="United States"/>
    <s v="Lowell"/>
    <s v="Massachusetts"/>
    <x v="3"/>
    <x v="1"/>
    <x v="4"/>
    <s v="Letter Size Cart"/>
    <n v="714.3"/>
    <n v="5"/>
    <n v="0"/>
    <n v="207.15"/>
  </r>
  <r>
    <x v="174"/>
    <x v="2"/>
    <x v="4"/>
    <s v="25-12-2011"/>
    <n v="6"/>
    <x v="1"/>
    <s v="Mike Kennedy"/>
    <x v="0"/>
    <s v="United States"/>
    <s v="Jacksonville"/>
    <s v="Florida"/>
    <x v="0"/>
    <x v="1"/>
    <x v="8"/>
    <s v="Insertable Tab Post Binder Dividers"/>
    <n v="4.8099999999999996"/>
    <n v="2"/>
    <n v="0.7"/>
    <n v="-3.69"/>
  </r>
  <r>
    <x v="174"/>
    <x v="2"/>
    <x v="4"/>
    <s v="25-12-2011"/>
    <n v="6"/>
    <x v="1"/>
    <s v="Mike Kennedy"/>
    <x v="0"/>
    <s v="United States"/>
    <s v="Jacksonville"/>
    <s v="Florida"/>
    <x v="0"/>
    <x v="2"/>
    <x v="11"/>
    <s v="Belkin QODE FastFit Bluetooth Keyboard"/>
    <n v="247.8"/>
    <n v="5"/>
    <n v="0.2"/>
    <n v="-18.59"/>
  </r>
  <r>
    <x v="1"/>
    <x v="0"/>
    <x v="1"/>
    <s v="15-06-2013"/>
    <n v="2"/>
    <x v="0"/>
    <s v="Philisse Overcash"/>
    <x v="2"/>
    <s v="United States"/>
    <s v="Chicago"/>
    <s v="Illinois"/>
    <x v="2"/>
    <x v="2"/>
    <x v="15"/>
    <s v="Canon Color ImageCLASS MF8580Cdw Wireless Laser All-In-One Printer, Copier, Scanner"/>
    <n v="1007.98"/>
    <n v="3"/>
    <n v="0.3"/>
    <n v="43.2"/>
  </r>
  <r>
    <x v="1"/>
    <x v="0"/>
    <x v="1"/>
    <s v="15-06-2013"/>
    <n v="2"/>
    <x v="0"/>
    <s v="Philisse Overcash"/>
    <x v="2"/>
    <s v="United States"/>
    <s v="Chicago"/>
    <s v="Illinois"/>
    <x v="2"/>
    <x v="1"/>
    <x v="10"/>
    <s v="Xerox 1908"/>
    <n v="313.49"/>
    <n v="7"/>
    <n v="0.2"/>
    <n v="113.64"/>
  </r>
  <r>
    <x v="175"/>
    <x v="3"/>
    <x v="8"/>
    <s v="20-09-2014"/>
    <n v="4"/>
    <x v="1"/>
    <s v="Brenda Bowman"/>
    <x v="1"/>
    <s v="United States"/>
    <s v="Houston"/>
    <s v="Texas"/>
    <x v="2"/>
    <x v="1"/>
    <x v="10"/>
    <s v="Xerox 1897"/>
    <n v="31.87"/>
    <n v="8"/>
    <n v="0.2"/>
    <n v="11.55"/>
  </r>
  <r>
    <x v="176"/>
    <x v="3"/>
    <x v="9"/>
    <s v="24-01-2014"/>
    <n v="3"/>
    <x v="0"/>
    <s v="Cynthia Voltz"/>
    <x v="1"/>
    <s v="United States"/>
    <s v="New York City"/>
    <s v="New York"/>
    <x v="3"/>
    <x v="0"/>
    <x v="1"/>
    <s v="Global Deluxe Steno Chair"/>
    <n v="207.85"/>
    <n v="3"/>
    <n v="0.1"/>
    <n v="2.31"/>
  </r>
  <r>
    <x v="64"/>
    <x v="0"/>
    <x v="8"/>
    <d v="2013-08-09T00:00:00"/>
    <n v="2"/>
    <x v="0"/>
    <s v="Pete Kriz"/>
    <x v="0"/>
    <s v="United States"/>
    <s v="Detroit"/>
    <s v="Michigan"/>
    <x v="2"/>
    <x v="0"/>
    <x v="5"/>
    <s v="Aluminum Document Frame"/>
    <n v="12.22"/>
    <n v="1"/>
    <n v="0"/>
    <n v="3.67"/>
  </r>
  <r>
    <x v="64"/>
    <x v="0"/>
    <x v="8"/>
    <d v="2013-08-09T00:00:00"/>
    <n v="2"/>
    <x v="0"/>
    <s v="Pete Kriz"/>
    <x v="0"/>
    <s v="United States"/>
    <s v="Detroit"/>
    <s v="Michigan"/>
    <x v="2"/>
    <x v="1"/>
    <x v="4"/>
    <s v="Fellowes Bankers Box Staxonsteel Drawer File/Stacking System"/>
    <n v="194.94"/>
    <n v="3"/>
    <n v="0"/>
    <n v="23.39"/>
  </r>
  <r>
    <x v="64"/>
    <x v="0"/>
    <x v="8"/>
    <d v="2013-08-09T00:00:00"/>
    <n v="2"/>
    <x v="0"/>
    <s v="Pete Kriz"/>
    <x v="0"/>
    <s v="United States"/>
    <s v="Detroit"/>
    <s v="Michigan"/>
    <x v="2"/>
    <x v="1"/>
    <x v="4"/>
    <s v="Eldon Mobile Mega Data Cart  Mega Stackable  Add-On Trays"/>
    <n v="70.95"/>
    <n v="3"/>
    <n v="0"/>
    <n v="20.58"/>
  </r>
  <r>
    <x v="64"/>
    <x v="0"/>
    <x v="8"/>
    <d v="2013-08-09T00:00:00"/>
    <n v="2"/>
    <x v="0"/>
    <s v="Pete Kriz"/>
    <x v="0"/>
    <s v="United States"/>
    <s v="Detroit"/>
    <s v="Michigan"/>
    <x v="2"/>
    <x v="1"/>
    <x v="10"/>
    <s v="Xerox Color Copier Paper, 11&quot; x 17&quot;, Ream"/>
    <n v="91.36"/>
    <n v="4"/>
    <n v="0"/>
    <n v="42.03"/>
  </r>
  <r>
    <x v="64"/>
    <x v="0"/>
    <x v="8"/>
    <d v="2013-08-09T00:00:00"/>
    <n v="2"/>
    <x v="0"/>
    <s v="Pete Kriz"/>
    <x v="0"/>
    <s v="United States"/>
    <s v="Detroit"/>
    <s v="Michigan"/>
    <x v="2"/>
    <x v="0"/>
    <x v="1"/>
    <s v="Office Star - Ergonomically Designed Knee Chair"/>
    <n v="242.94"/>
    <n v="3"/>
    <n v="0"/>
    <n v="29.15"/>
  </r>
  <r>
    <x v="64"/>
    <x v="0"/>
    <x v="8"/>
    <d v="2013-08-09T00:00:00"/>
    <n v="2"/>
    <x v="0"/>
    <s v="Pete Kriz"/>
    <x v="0"/>
    <s v="United States"/>
    <s v="Detroit"/>
    <s v="Michigan"/>
    <x v="2"/>
    <x v="1"/>
    <x v="2"/>
    <s v="Avery 520"/>
    <n v="22.05"/>
    <n v="7"/>
    <n v="0"/>
    <n v="10.58"/>
  </r>
  <r>
    <x v="177"/>
    <x v="3"/>
    <x v="10"/>
    <s v="26-03-2014"/>
    <n v="5"/>
    <x v="0"/>
    <s v="Troy Blackwell"/>
    <x v="0"/>
    <s v="United States"/>
    <s v="Columbus"/>
    <s v="Indiana"/>
    <x v="2"/>
    <x v="0"/>
    <x v="5"/>
    <s v="GE General Purpose, Extra Long Life, Showcase &amp; Floodlight Incandescent Bulbs"/>
    <n v="2.91"/>
    <n v="1"/>
    <n v="0"/>
    <n v="1.37"/>
  </r>
  <r>
    <x v="178"/>
    <x v="0"/>
    <x v="3"/>
    <d v="2013-04-04T00:00:00"/>
    <n v="2"/>
    <x v="0"/>
    <s v="Raymond Buch"/>
    <x v="0"/>
    <s v="United States"/>
    <s v="Auburn"/>
    <s v="New York"/>
    <x v="3"/>
    <x v="1"/>
    <x v="6"/>
    <s v="Newell 345"/>
    <n v="59.52"/>
    <n v="3"/>
    <n v="0"/>
    <n v="15.48"/>
  </r>
  <r>
    <x v="178"/>
    <x v="0"/>
    <x v="3"/>
    <d v="2013-04-04T00:00:00"/>
    <n v="2"/>
    <x v="0"/>
    <s v="Raymond Buch"/>
    <x v="0"/>
    <s v="United States"/>
    <s v="Auburn"/>
    <s v="New York"/>
    <x v="3"/>
    <x v="1"/>
    <x v="4"/>
    <s v="Fellowes Bankers Box Recycled Super Stor/Drawer"/>
    <n v="161.94"/>
    <n v="3"/>
    <n v="0"/>
    <n v="9.7200000000000006"/>
  </r>
  <r>
    <x v="178"/>
    <x v="0"/>
    <x v="3"/>
    <d v="2013-04-04T00:00:00"/>
    <n v="2"/>
    <x v="0"/>
    <s v="Raymond Buch"/>
    <x v="0"/>
    <s v="United States"/>
    <s v="Auburn"/>
    <s v="New York"/>
    <x v="3"/>
    <x v="1"/>
    <x v="6"/>
    <s v="Boston 1645 Deluxe Heavier-Duty Electric Pencil Sharpener"/>
    <n v="263.88"/>
    <n v="6"/>
    <n v="0"/>
    <n v="71.25"/>
  </r>
  <r>
    <x v="178"/>
    <x v="0"/>
    <x v="3"/>
    <d v="2013-04-04T00:00:00"/>
    <n v="2"/>
    <x v="0"/>
    <s v="Raymond Buch"/>
    <x v="0"/>
    <s v="United States"/>
    <s v="Auburn"/>
    <s v="New York"/>
    <x v="3"/>
    <x v="1"/>
    <x v="6"/>
    <s v="50 Colored Long Pencils"/>
    <n v="30.48"/>
    <n v="3"/>
    <n v="0"/>
    <n v="7.92"/>
  </r>
  <r>
    <x v="178"/>
    <x v="0"/>
    <x v="3"/>
    <d v="2013-04-04T00:00:00"/>
    <n v="2"/>
    <x v="0"/>
    <s v="Raymond Buch"/>
    <x v="0"/>
    <s v="United States"/>
    <s v="Auburn"/>
    <s v="New York"/>
    <x v="3"/>
    <x v="1"/>
    <x v="6"/>
    <s v="Newell 342"/>
    <n v="9.84"/>
    <n v="3"/>
    <n v="0"/>
    <n v="2.85"/>
  </r>
  <r>
    <x v="178"/>
    <x v="0"/>
    <x v="3"/>
    <d v="2013-04-04T00:00:00"/>
    <n v="2"/>
    <x v="0"/>
    <s v="Raymond Buch"/>
    <x v="0"/>
    <s v="United States"/>
    <s v="Auburn"/>
    <s v="New York"/>
    <x v="3"/>
    <x v="2"/>
    <x v="7"/>
    <s v="Belkin Grip Candy Sheer Case / Cover for iPhone 5 and 5S"/>
    <n v="35.119999999999997"/>
    <n v="4"/>
    <n v="0"/>
    <n v="9.1300000000000008"/>
  </r>
  <r>
    <x v="179"/>
    <x v="3"/>
    <x v="2"/>
    <s v="25-10-2014"/>
    <n v="4"/>
    <x v="1"/>
    <s v="Ed Braxton"/>
    <x v="1"/>
    <s v="United States"/>
    <s v="Akron"/>
    <s v="Ohio"/>
    <x v="3"/>
    <x v="0"/>
    <x v="3"/>
    <s v="Chromcraft Rectangular Conference Tables"/>
    <n v="284.36"/>
    <n v="2"/>
    <n v="0.4"/>
    <n v="-75.83"/>
  </r>
  <r>
    <x v="179"/>
    <x v="3"/>
    <x v="2"/>
    <s v="25-10-2014"/>
    <n v="4"/>
    <x v="1"/>
    <s v="Ed Braxton"/>
    <x v="1"/>
    <s v="United States"/>
    <s v="Akron"/>
    <s v="Ohio"/>
    <x v="3"/>
    <x v="1"/>
    <x v="4"/>
    <s v="Deluxe Rollaway Locking File with Drawer"/>
    <n v="665.41"/>
    <n v="2"/>
    <n v="0.2"/>
    <n v="66.540000000000006"/>
  </r>
  <r>
    <x v="180"/>
    <x v="0"/>
    <x v="4"/>
    <s v="18-12-2013"/>
    <n v="4"/>
    <x v="1"/>
    <s v="Ken Heidel"/>
    <x v="1"/>
    <s v="United States"/>
    <s v="Norman"/>
    <s v="Oklahoma"/>
    <x v="2"/>
    <x v="2"/>
    <x v="11"/>
    <s v="Memorex Mini Travel Drive 16 GB USB 2.0 Flash Drive"/>
    <n v="63.88"/>
    <n v="4"/>
    <n v="0"/>
    <n v="24.91"/>
  </r>
  <r>
    <x v="181"/>
    <x v="2"/>
    <x v="11"/>
    <s v="19-02-2011"/>
    <n v="6"/>
    <x v="1"/>
    <s v="Sanjit Chand"/>
    <x v="0"/>
    <s v="United States"/>
    <s v="Concord"/>
    <s v="California"/>
    <x v="1"/>
    <x v="0"/>
    <x v="1"/>
    <s v="Global Geo Office Task Chair, Gray"/>
    <n v="129.57"/>
    <n v="2"/>
    <n v="0.2"/>
    <n v="-24.29"/>
  </r>
  <r>
    <x v="182"/>
    <x v="0"/>
    <x v="8"/>
    <d v="2013-02-10T00:00:00"/>
    <n v="5"/>
    <x v="1"/>
    <s v="Natalie Fritzler"/>
    <x v="0"/>
    <s v="United States"/>
    <s v="Decatur"/>
    <s v="Illinois"/>
    <x v="2"/>
    <x v="0"/>
    <x v="1"/>
    <s v="Hon 4700 Series Mobuis Mid-Back Task Chairs with Adjustable Arms"/>
    <n v="747.56"/>
    <n v="3"/>
    <n v="0.3"/>
    <n v="-96.11"/>
  </r>
  <r>
    <x v="182"/>
    <x v="0"/>
    <x v="8"/>
    <d v="2013-02-10T00:00:00"/>
    <n v="5"/>
    <x v="1"/>
    <s v="Natalie Fritzler"/>
    <x v="0"/>
    <s v="United States"/>
    <s v="Decatur"/>
    <s v="Illinois"/>
    <x v="2"/>
    <x v="1"/>
    <x v="12"/>
    <s v="Staples"/>
    <n v="8.93"/>
    <n v="2"/>
    <n v="0.2"/>
    <n v="3.35"/>
  </r>
  <r>
    <x v="83"/>
    <x v="1"/>
    <x v="4"/>
    <s v="22-12-2012"/>
    <n v="7"/>
    <x v="1"/>
    <s v="Joseph Holt"/>
    <x v="0"/>
    <s v="United States"/>
    <s v="Seattle"/>
    <s v="Washington"/>
    <x v="1"/>
    <x v="1"/>
    <x v="9"/>
    <s v="3M Office Air Cleaner"/>
    <n v="103.92"/>
    <n v="4"/>
    <n v="0"/>
    <n v="36.369999999999997"/>
  </r>
  <r>
    <x v="83"/>
    <x v="1"/>
    <x v="4"/>
    <s v="22-12-2012"/>
    <n v="7"/>
    <x v="1"/>
    <s v="Joseph Holt"/>
    <x v="0"/>
    <s v="United States"/>
    <s v="Seattle"/>
    <s v="Washington"/>
    <x v="1"/>
    <x v="2"/>
    <x v="11"/>
    <s v="Logitech G700s Rechargeable Gaming Mouse"/>
    <n v="899.91"/>
    <n v="9"/>
    <n v="0"/>
    <n v="377.96"/>
  </r>
  <r>
    <x v="83"/>
    <x v="1"/>
    <x v="4"/>
    <s v="22-12-2012"/>
    <n v="7"/>
    <x v="1"/>
    <s v="Joseph Holt"/>
    <x v="0"/>
    <s v="United States"/>
    <s v="Seattle"/>
    <s v="Washington"/>
    <x v="1"/>
    <x v="1"/>
    <x v="8"/>
    <s v="Acco D-Ring Binder w/DublLock"/>
    <n v="51.31"/>
    <n v="3"/>
    <n v="0.2"/>
    <n v="18.600000000000001"/>
  </r>
  <r>
    <x v="183"/>
    <x v="0"/>
    <x v="3"/>
    <s v="30-04-2013"/>
    <n v="7"/>
    <x v="1"/>
    <s v="Tanja Norvell"/>
    <x v="2"/>
    <s v="United States"/>
    <s v="Phoenix"/>
    <s v="Arizona"/>
    <x v="1"/>
    <x v="0"/>
    <x v="5"/>
    <s v="Eldon Wave Desk Accessories"/>
    <n v="23.56"/>
    <n v="5"/>
    <n v="0.2"/>
    <n v="7.07"/>
  </r>
  <r>
    <x v="183"/>
    <x v="0"/>
    <x v="3"/>
    <s v="30-04-2013"/>
    <n v="7"/>
    <x v="1"/>
    <s v="Tanja Norvell"/>
    <x v="2"/>
    <s v="United States"/>
    <s v="Phoenix"/>
    <s v="Arizona"/>
    <x v="1"/>
    <x v="0"/>
    <x v="3"/>
    <s v="Bush Advantage Collection Racetrack Conference Table"/>
    <n v="1272.6300000000001"/>
    <n v="6"/>
    <n v="0.5"/>
    <n v="-814.48"/>
  </r>
  <r>
    <x v="183"/>
    <x v="0"/>
    <x v="3"/>
    <s v="30-04-2013"/>
    <n v="7"/>
    <x v="1"/>
    <s v="Tanja Norvell"/>
    <x v="2"/>
    <s v="United States"/>
    <s v="Phoenix"/>
    <s v="Arizona"/>
    <x v="1"/>
    <x v="1"/>
    <x v="8"/>
    <s v="Poly Designer Cover &amp; Back"/>
    <n v="28.49"/>
    <n v="5"/>
    <n v="0.7"/>
    <n v="-20.89"/>
  </r>
  <r>
    <x v="183"/>
    <x v="0"/>
    <x v="3"/>
    <s v="30-04-2013"/>
    <n v="7"/>
    <x v="1"/>
    <s v="Tanja Norvell"/>
    <x v="2"/>
    <s v="United States"/>
    <s v="Phoenix"/>
    <s v="Arizona"/>
    <x v="1"/>
    <x v="1"/>
    <x v="14"/>
    <s v="Premier Electric Letter Opener"/>
    <n v="185.38"/>
    <n v="2"/>
    <n v="0.2"/>
    <n v="-34.76"/>
  </r>
  <r>
    <x v="183"/>
    <x v="0"/>
    <x v="3"/>
    <s v="30-04-2013"/>
    <n v="7"/>
    <x v="1"/>
    <s v="Tanja Norvell"/>
    <x v="2"/>
    <s v="United States"/>
    <s v="Phoenix"/>
    <s v="Arizona"/>
    <x v="1"/>
    <x v="1"/>
    <x v="9"/>
    <s v="Fellowes Premier Superior Surge Suppressor, 10-Outlet, With Phone and Remote"/>
    <n v="78.27"/>
    <n v="2"/>
    <n v="0.2"/>
    <n v="5.87"/>
  </r>
  <r>
    <x v="184"/>
    <x v="1"/>
    <x v="9"/>
    <s v="24-01-2012"/>
    <n v="7"/>
    <x v="1"/>
    <s v="Joni Sundaresam"/>
    <x v="2"/>
    <s v="United States"/>
    <s v="Park Ridge"/>
    <s v="Illinois"/>
    <x v="2"/>
    <x v="0"/>
    <x v="5"/>
    <s v="Eldon ClusterMat Chair Mat with Cordless Antistatic Protection"/>
    <n v="254.74"/>
    <n v="7"/>
    <n v="0.6"/>
    <n v="-312.06"/>
  </r>
  <r>
    <x v="185"/>
    <x v="3"/>
    <x v="3"/>
    <d v="2014-05-04T00:00:00"/>
    <n v="4"/>
    <x v="1"/>
    <s v="David Smith"/>
    <x v="1"/>
    <s v="United States"/>
    <s v="Amarillo"/>
    <s v="Texas"/>
    <x v="2"/>
    <x v="0"/>
    <x v="0"/>
    <s v="Bush Mission Pointe Library"/>
    <n v="205.33"/>
    <n v="2"/>
    <n v="0.32"/>
    <n v="-36.24"/>
  </r>
  <r>
    <x v="186"/>
    <x v="0"/>
    <x v="4"/>
    <s v="21-12-2013"/>
    <n v="4"/>
    <x v="0"/>
    <s v="Craig Carreira"/>
    <x v="0"/>
    <s v="United States"/>
    <s v="Chicago"/>
    <s v="Illinois"/>
    <x v="2"/>
    <x v="1"/>
    <x v="8"/>
    <s v="Cardinal Hold-It CD Pocket"/>
    <n v="4.79"/>
    <n v="3"/>
    <n v="0.8"/>
    <n v="-7.9"/>
  </r>
  <r>
    <x v="139"/>
    <x v="1"/>
    <x v="4"/>
    <s v="24-12-2012"/>
    <n v="4"/>
    <x v="1"/>
    <s v="Maya Herman"/>
    <x v="1"/>
    <s v="United States"/>
    <s v="Lindenhurst"/>
    <s v="New York"/>
    <x v="3"/>
    <x v="1"/>
    <x v="10"/>
    <s v="Eaton Premium Continuous-Feed Paper, 25% Cotton, Letter Size, White, 1000 Shts/Box"/>
    <n v="55.48"/>
    <n v="1"/>
    <n v="0"/>
    <n v="26.63"/>
  </r>
  <r>
    <x v="187"/>
    <x v="2"/>
    <x v="0"/>
    <d v="2011-11-11T00:00:00"/>
    <n v="2"/>
    <x v="0"/>
    <s v="Jeremy Pistek"/>
    <x v="0"/>
    <s v="United States"/>
    <s v="San Francisco"/>
    <s v="California"/>
    <x v="1"/>
    <x v="1"/>
    <x v="4"/>
    <s v="SAFCO Boltless Steel Shelving"/>
    <n v="340.92"/>
    <n v="3"/>
    <n v="0"/>
    <n v="3.41"/>
  </r>
  <r>
    <x v="187"/>
    <x v="2"/>
    <x v="0"/>
    <d v="2011-11-11T00:00:00"/>
    <n v="2"/>
    <x v="0"/>
    <s v="Jeremy Pistek"/>
    <x v="0"/>
    <s v="United States"/>
    <s v="San Francisco"/>
    <s v="California"/>
    <x v="1"/>
    <x v="0"/>
    <x v="0"/>
    <s v="Sauder Mission Library with Doors, Fruitwood Finish"/>
    <n v="222.67"/>
    <n v="2"/>
    <n v="0.15"/>
    <n v="10.48"/>
  </r>
  <r>
    <x v="187"/>
    <x v="2"/>
    <x v="0"/>
    <d v="2011-11-11T00:00:00"/>
    <n v="2"/>
    <x v="0"/>
    <s v="Jeremy Pistek"/>
    <x v="0"/>
    <s v="United States"/>
    <s v="San Francisco"/>
    <s v="California"/>
    <x v="1"/>
    <x v="2"/>
    <x v="7"/>
    <s v="Samsung Galaxy Note 3"/>
    <n v="703.97"/>
    <n v="4"/>
    <n v="0.2"/>
    <n v="88"/>
  </r>
  <r>
    <x v="187"/>
    <x v="2"/>
    <x v="0"/>
    <d v="2011-11-11T00:00:00"/>
    <n v="2"/>
    <x v="0"/>
    <s v="Jeremy Pistek"/>
    <x v="0"/>
    <s v="United States"/>
    <s v="San Francisco"/>
    <s v="California"/>
    <x v="1"/>
    <x v="1"/>
    <x v="4"/>
    <s v="Decoflex Hanging Personal Folder File, Blue"/>
    <n v="92.52"/>
    <n v="6"/>
    <n v="0"/>
    <n v="24.98"/>
  </r>
  <r>
    <x v="187"/>
    <x v="2"/>
    <x v="0"/>
    <d v="2011-11-11T00:00:00"/>
    <n v="2"/>
    <x v="0"/>
    <s v="Jeremy Pistek"/>
    <x v="0"/>
    <s v="United States"/>
    <s v="San Francisco"/>
    <s v="California"/>
    <x v="1"/>
    <x v="1"/>
    <x v="10"/>
    <s v="Recycled Desk Saver Line &quot;While You Were Out&quot; Book, 5 1/2&quot; X 4&quot;"/>
    <n v="62.65"/>
    <n v="7"/>
    <n v="0"/>
    <n v="28.82"/>
  </r>
  <r>
    <x v="187"/>
    <x v="2"/>
    <x v="0"/>
    <d v="2011-11-11T00:00:00"/>
    <n v="2"/>
    <x v="0"/>
    <s v="Jeremy Pistek"/>
    <x v="0"/>
    <s v="United States"/>
    <s v="San Francisco"/>
    <s v="California"/>
    <x v="1"/>
    <x v="1"/>
    <x v="10"/>
    <s v="Xerox 1912"/>
    <n v="94.85"/>
    <n v="5"/>
    <n v="0"/>
    <n v="45.53"/>
  </r>
  <r>
    <x v="188"/>
    <x v="0"/>
    <x v="7"/>
    <s v="20-07-2013"/>
    <n v="7"/>
    <x v="1"/>
    <s v="Kristen Hastings"/>
    <x v="1"/>
    <s v="United States"/>
    <s v="Los Angeles"/>
    <s v="California"/>
    <x v="1"/>
    <x v="2"/>
    <x v="7"/>
    <s v="Cisco SPA525G2 IP Phone - Wireless"/>
    <n v="95.76"/>
    <n v="6"/>
    <n v="0.2"/>
    <n v="7.18"/>
  </r>
  <r>
    <x v="189"/>
    <x v="0"/>
    <x v="2"/>
    <d v="2013-03-11T00:00:00"/>
    <n v="6"/>
    <x v="1"/>
    <s v="Jeremy Ellison"/>
    <x v="0"/>
    <s v="United States"/>
    <s v="Troy"/>
    <s v="New York"/>
    <x v="3"/>
    <x v="0"/>
    <x v="5"/>
    <s v="Electrix 20W Halogen Replacement Bulb for Zoom-In Desk Lamp"/>
    <n v="40.200000000000003"/>
    <n v="3"/>
    <n v="0"/>
    <n v="19.3"/>
  </r>
  <r>
    <x v="190"/>
    <x v="0"/>
    <x v="1"/>
    <d v="2013-03-07T00:00:00"/>
    <n v="6"/>
    <x v="1"/>
    <s v="John Grady"/>
    <x v="1"/>
    <s v="United States"/>
    <s v="New York City"/>
    <s v="New York"/>
    <x v="3"/>
    <x v="1"/>
    <x v="6"/>
    <s v="Prang Colored Pencils"/>
    <n v="14.7"/>
    <n v="5"/>
    <n v="0"/>
    <n v="6.62"/>
  </r>
  <r>
    <x v="190"/>
    <x v="0"/>
    <x v="1"/>
    <d v="2013-03-07T00:00:00"/>
    <n v="6"/>
    <x v="1"/>
    <s v="John Grady"/>
    <x v="1"/>
    <s v="United States"/>
    <s v="New York City"/>
    <s v="New York"/>
    <x v="3"/>
    <x v="1"/>
    <x v="4"/>
    <s v="Fellowes Strictly Business Drawer File, Letter/Legal Size"/>
    <n v="704.25"/>
    <n v="5"/>
    <n v="0"/>
    <n v="84.51"/>
  </r>
  <r>
    <x v="191"/>
    <x v="2"/>
    <x v="2"/>
    <d v="2011-10-10T00:00:00"/>
    <n v="4"/>
    <x v="1"/>
    <s v="Xylona Preis"/>
    <x v="0"/>
    <s v="United States"/>
    <s v="San Diego"/>
    <s v="California"/>
    <x v="1"/>
    <x v="2"/>
    <x v="11"/>
    <s v="Imation USB 2.0 Swivel Flash Drive USB flash drive - 4 GB - Pink"/>
    <n v="9.09"/>
    <n v="3"/>
    <n v="0"/>
    <n v="1.91"/>
  </r>
  <r>
    <x v="192"/>
    <x v="2"/>
    <x v="7"/>
    <s v="27-07-2011"/>
    <n v="5"/>
    <x v="1"/>
    <s v="Erin Mull"/>
    <x v="0"/>
    <s v="United States"/>
    <s v="New York City"/>
    <s v="New York"/>
    <x v="3"/>
    <x v="1"/>
    <x v="6"/>
    <s v="Premium Writing Pencils, Soft, #2 by Central Association for the Blind"/>
    <n v="5.96"/>
    <n v="2"/>
    <n v="0"/>
    <n v="1.67"/>
  </r>
  <r>
    <x v="192"/>
    <x v="2"/>
    <x v="7"/>
    <s v="27-07-2011"/>
    <n v="5"/>
    <x v="1"/>
    <s v="Erin Mull"/>
    <x v="0"/>
    <s v="United States"/>
    <s v="New York City"/>
    <s v="New York"/>
    <x v="3"/>
    <x v="2"/>
    <x v="11"/>
    <s v="Logitech G602 Wireless Gaming Mouse"/>
    <n v="159.97999999999999"/>
    <n v="2"/>
    <n v="0"/>
    <n v="57.59"/>
  </r>
  <r>
    <x v="193"/>
    <x v="3"/>
    <x v="1"/>
    <s v="14-06-2014"/>
    <n v="3"/>
    <x v="2"/>
    <s v="Michelle Tran"/>
    <x v="2"/>
    <s v="United States"/>
    <s v="Los Angeles"/>
    <s v="California"/>
    <x v="1"/>
    <x v="1"/>
    <x v="2"/>
    <s v="Alphabetical Labels for Top Tab Filing"/>
    <n v="29.6"/>
    <n v="2"/>
    <n v="0"/>
    <n v="14.8"/>
  </r>
  <r>
    <x v="193"/>
    <x v="3"/>
    <x v="1"/>
    <s v="14-06-2014"/>
    <n v="3"/>
    <x v="2"/>
    <s v="Michelle Tran"/>
    <x v="2"/>
    <s v="United States"/>
    <s v="Los Angeles"/>
    <s v="California"/>
    <x v="1"/>
    <x v="0"/>
    <x v="0"/>
    <s v="O'Sullivan Living Dimensions 2-Shelf Bookcases"/>
    <n v="514.16999999999996"/>
    <n v="5"/>
    <n v="0.15"/>
    <n v="-30.25"/>
  </r>
  <r>
    <x v="193"/>
    <x v="3"/>
    <x v="1"/>
    <s v="14-06-2014"/>
    <n v="3"/>
    <x v="2"/>
    <s v="Michelle Tran"/>
    <x v="2"/>
    <s v="United States"/>
    <s v="Los Angeles"/>
    <s v="California"/>
    <x v="1"/>
    <x v="2"/>
    <x v="7"/>
    <s v="iHome FM Clock Radio with Lightning Dock"/>
    <n v="279.95999999999998"/>
    <n v="5"/>
    <n v="0.2"/>
    <n v="17.5"/>
  </r>
  <r>
    <x v="194"/>
    <x v="2"/>
    <x v="2"/>
    <s v="31-10-2011"/>
    <n v="2"/>
    <x v="2"/>
    <s v="Sue Ann Reed"/>
    <x v="0"/>
    <s v="United States"/>
    <s v="Chicago"/>
    <s v="Illinois"/>
    <x v="2"/>
    <x v="2"/>
    <x v="7"/>
    <s v="Apple iPhone 5S"/>
    <n v="2735.95"/>
    <n v="6"/>
    <n v="0.2"/>
    <n v="341.99"/>
  </r>
  <r>
    <x v="3"/>
    <x v="2"/>
    <x v="1"/>
    <s v="13-06-2011"/>
    <n v="4"/>
    <x v="0"/>
    <s v="Carl Weiss"/>
    <x v="2"/>
    <s v="United States"/>
    <s v="Huntsville"/>
    <s v="Texas"/>
    <x v="2"/>
    <x v="2"/>
    <x v="7"/>
    <s v="Square Credit Card Reader"/>
    <n v="7.99"/>
    <n v="1"/>
    <n v="0.2"/>
    <n v="0.6"/>
  </r>
  <r>
    <x v="3"/>
    <x v="2"/>
    <x v="1"/>
    <s v="13-06-2011"/>
    <n v="4"/>
    <x v="0"/>
    <s v="Carl Weiss"/>
    <x v="2"/>
    <s v="United States"/>
    <s v="Huntsville"/>
    <s v="Texas"/>
    <x v="2"/>
    <x v="2"/>
    <x v="11"/>
    <s v="Logitech M510 Wireless Mouse"/>
    <n v="63.98"/>
    <n v="2"/>
    <n v="0.2"/>
    <n v="10.4"/>
  </r>
  <r>
    <x v="3"/>
    <x v="2"/>
    <x v="1"/>
    <s v="13-06-2011"/>
    <n v="4"/>
    <x v="0"/>
    <s v="Carl Weiss"/>
    <x v="2"/>
    <s v="United States"/>
    <s v="Huntsville"/>
    <s v="Texas"/>
    <x v="2"/>
    <x v="1"/>
    <x v="6"/>
    <s v="Boston 1645 Deluxe Heavier-Duty Electric Pencil Sharpener"/>
    <n v="70.37"/>
    <n v="2"/>
    <n v="0.2"/>
    <n v="6.16"/>
  </r>
  <r>
    <x v="80"/>
    <x v="2"/>
    <x v="8"/>
    <s v="19-09-2011"/>
    <n v="5"/>
    <x v="1"/>
    <s v="Astrea Jones"/>
    <x v="0"/>
    <s v="United States"/>
    <s v="Rochester"/>
    <s v="New York"/>
    <x v="3"/>
    <x v="1"/>
    <x v="4"/>
    <s v="Fellowes Officeware Wire Shelving"/>
    <n v="449.15"/>
    <n v="5"/>
    <n v="0"/>
    <n v="8.98"/>
  </r>
  <r>
    <x v="80"/>
    <x v="2"/>
    <x v="8"/>
    <s v="19-09-2011"/>
    <n v="5"/>
    <x v="1"/>
    <s v="Astrea Jones"/>
    <x v="0"/>
    <s v="United States"/>
    <s v="Rochester"/>
    <s v="New York"/>
    <x v="3"/>
    <x v="1"/>
    <x v="12"/>
    <s v="Colored Envelopes"/>
    <n v="11.07"/>
    <n v="3"/>
    <n v="0"/>
    <n v="5.09"/>
  </r>
  <r>
    <x v="195"/>
    <x v="0"/>
    <x v="5"/>
    <s v="15-05-2013"/>
    <n v="5"/>
    <x v="1"/>
    <s v="Sonia Sunley"/>
    <x v="0"/>
    <s v="United States"/>
    <s v="Seattle"/>
    <s v="Washington"/>
    <x v="1"/>
    <x v="2"/>
    <x v="11"/>
    <s v="Sony Micro Vault Click 8 GB USB 2.0 Flash Drive"/>
    <n v="93.98"/>
    <n v="2"/>
    <n v="0"/>
    <n v="13.16"/>
  </r>
  <r>
    <x v="196"/>
    <x v="0"/>
    <x v="10"/>
    <s v="22-03-2013"/>
    <n v="3"/>
    <x v="0"/>
    <s v="Rose O'Brian"/>
    <x v="0"/>
    <s v="United States"/>
    <s v="Memphis"/>
    <s v="Tennessee"/>
    <x v="0"/>
    <x v="0"/>
    <x v="3"/>
    <s v="Balt Solid Wood Rectangular Table"/>
    <n v="189.88"/>
    <n v="3"/>
    <n v="0.4"/>
    <n v="-94.94"/>
  </r>
  <r>
    <x v="17"/>
    <x v="1"/>
    <x v="4"/>
    <s v="31-12-2012"/>
    <n v="4"/>
    <x v="1"/>
    <s v="Maribeth Dona"/>
    <x v="0"/>
    <s v="United States"/>
    <s v="Fayetteville"/>
    <s v="Arkansas"/>
    <x v="0"/>
    <x v="1"/>
    <x v="12"/>
    <s v="Strathmore #10 Envelopes, Ultimate White"/>
    <n v="105.42"/>
    <n v="2"/>
    <n v="0"/>
    <n v="51.66"/>
  </r>
  <r>
    <x v="197"/>
    <x v="0"/>
    <x v="7"/>
    <d v="2013-01-08T00:00:00"/>
    <n v="6"/>
    <x v="1"/>
    <s v="Sanjit Chand"/>
    <x v="0"/>
    <s v="United States"/>
    <s v="Costa Mesa"/>
    <s v="California"/>
    <x v="1"/>
    <x v="1"/>
    <x v="8"/>
    <s v="Clear Mylar Reinforcing Strips"/>
    <n v="119.62"/>
    <n v="8"/>
    <n v="0.2"/>
    <n v="40.369999999999997"/>
  </r>
  <r>
    <x v="197"/>
    <x v="0"/>
    <x v="7"/>
    <d v="2013-01-08T00:00:00"/>
    <n v="6"/>
    <x v="1"/>
    <s v="Sanjit Chand"/>
    <x v="0"/>
    <s v="United States"/>
    <s v="Costa Mesa"/>
    <s v="California"/>
    <x v="1"/>
    <x v="0"/>
    <x v="5"/>
    <s v="Howard Miller 14-1/2&quot; Diameter Chrome Round Wall Clock"/>
    <n v="255.76"/>
    <n v="4"/>
    <n v="0"/>
    <n v="81.84"/>
  </r>
  <r>
    <x v="197"/>
    <x v="0"/>
    <x v="7"/>
    <d v="2013-01-08T00:00:00"/>
    <n v="6"/>
    <x v="1"/>
    <s v="Sanjit Chand"/>
    <x v="0"/>
    <s v="United States"/>
    <s v="Costa Mesa"/>
    <s v="California"/>
    <x v="1"/>
    <x v="0"/>
    <x v="1"/>
    <s v="DMI Arturo Collection Mission-style Design Wood Chair"/>
    <n v="241.57"/>
    <n v="2"/>
    <n v="0.2"/>
    <n v="18.12"/>
  </r>
  <r>
    <x v="197"/>
    <x v="0"/>
    <x v="7"/>
    <d v="2013-01-08T00:00:00"/>
    <n v="6"/>
    <x v="1"/>
    <s v="Sanjit Chand"/>
    <x v="0"/>
    <s v="United States"/>
    <s v="Costa Mesa"/>
    <s v="California"/>
    <x v="1"/>
    <x v="0"/>
    <x v="5"/>
    <s v="Deflect-O Glasstique Clear Desk Accessories"/>
    <n v="69.3"/>
    <n v="9"/>
    <n v="0"/>
    <n v="22.87"/>
  </r>
  <r>
    <x v="198"/>
    <x v="0"/>
    <x v="5"/>
    <d v="2013-05-06T00:00:00"/>
    <n v="5"/>
    <x v="1"/>
    <s v="Maribeth Yedwab"/>
    <x v="1"/>
    <s v="United States"/>
    <s v="Parker"/>
    <s v="Colorado"/>
    <x v="1"/>
    <x v="1"/>
    <x v="8"/>
    <s v="Vinyl Sectional Post Binders"/>
    <n v="22.62"/>
    <n v="2"/>
    <n v="0.7"/>
    <n v="-15.08"/>
  </r>
  <r>
    <x v="198"/>
    <x v="0"/>
    <x v="5"/>
    <d v="2013-05-06T00:00:00"/>
    <n v="5"/>
    <x v="1"/>
    <s v="Maribeth Yedwab"/>
    <x v="1"/>
    <s v="United States"/>
    <s v="Parker"/>
    <s v="Colorado"/>
    <x v="1"/>
    <x v="1"/>
    <x v="8"/>
    <s v="GBC Standard Therm-A-Bind Covers"/>
    <n v="14.95"/>
    <n v="2"/>
    <n v="0.7"/>
    <n v="-11.96"/>
  </r>
  <r>
    <x v="198"/>
    <x v="0"/>
    <x v="5"/>
    <d v="2013-05-06T00:00:00"/>
    <n v="5"/>
    <x v="1"/>
    <s v="Maribeth Yedwab"/>
    <x v="1"/>
    <s v="United States"/>
    <s v="Parker"/>
    <s v="Colorado"/>
    <x v="1"/>
    <x v="0"/>
    <x v="1"/>
    <s v="Global Troy Executive Leather Low-Back Tilter"/>
    <n v="801.57"/>
    <n v="2"/>
    <n v="0.2"/>
    <n v="50.1"/>
  </r>
  <r>
    <x v="198"/>
    <x v="0"/>
    <x v="5"/>
    <d v="2013-05-06T00:00:00"/>
    <n v="5"/>
    <x v="1"/>
    <s v="Maribeth Yedwab"/>
    <x v="1"/>
    <s v="United States"/>
    <s v="Parker"/>
    <s v="Colorado"/>
    <x v="1"/>
    <x v="1"/>
    <x v="8"/>
    <s v="Storex Flexible Poly Binders with Double Pockets"/>
    <n v="2.38"/>
    <n v="3"/>
    <n v="0.7"/>
    <n v="-1.9"/>
  </r>
  <r>
    <x v="198"/>
    <x v="0"/>
    <x v="5"/>
    <d v="2013-05-06T00:00:00"/>
    <n v="5"/>
    <x v="1"/>
    <s v="Maribeth Yedwab"/>
    <x v="1"/>
    <s v="United States"/>
    <s v="Parker"/>
    <s v="Colorado"/>
    <x v="1"/>
    <x v="1"/>
    <x v="10"/>
    <s v="White Dual Perf Computer Printout Paper, 2700 Sheets, 1 Part, Heavyweight, 20 lbs., 14 7/8 x 11"/>
    <n v="32.79"/>
    <n v="1"/>
    <n v="0.2"/>
    <n v="11.89"/>
  </r>
  <r>
    <x v="105"/>
    <x v="3"/>
    <x v="0"/>
    <s v="16-11-2014"/>
    <n v="3"/>
    <x v="0"/>
    <s v="Ed Braxton"/>
    <x v="1"/>
    <s v="United States"/>
    <s v="New York City"/>
    <s v="New York"/>
    <x v="3"/>
    <x v="1"/>
    <x v="8"/>
    <s v="Avery Durable Slant Ring Binders, No Labels"/>
    <n v="15.92"/>
    <n v="5"/>
    <n v="0.2"/>
    <n v="5.37"/>
  </r>
  <r>
    <x v="199"/>
    <x v="1"/>
    <x v="10"/>
    <s v="22-03-2012"/>
    <n v="6"/>
    <x v="1"/>
    <s v="Christopher Martinez"/>
    <x v="0"/>
    <s v="United States"/>
    <s v="Atlanta"/>
    <s v="Georgia"/>
    <x v="0"/>
    <x v="1"/>
    <x v="6"/>
    <s v="Rogers Handheld Barrel Pencil Sharpener"/>
    <n v="2.74"/>
    <n v="1"/>
    <n v="0"/>
    <n v="0.74"/>
  </r>
  <r>
    <x v="199"/>
    <x v="1"/>
    <x v="10"/>
    <s v="22-03-2012"/>
    <n v="6"/>
    <x v="1"/>
    <s v="Christopher Martinez"/>
    <x v="0"/>
    <s v="United States"/>
    <s v="Atlanta"/>
    <s v="Georgia"/>
    <x v="0"/>
    <x v="1"/>
    <x v="6"/>
    <s v="Newell 344"/>
    <n v="8.34"/>
    <n v="3"/>
    <n v="0"/>
    <n v="2.17"/>
  </r>
  <r>
    <x v="199"/>
    <x v="1"/>
    <x v="10"/>
    <s v="22-03-2012"/>
    <n v="6"/>
    <x v="1"/>
    <s v="Christopher Martinez"/>
    <x v="0"/>
    <s v="United States"/>
    <s v="Atlanta"/>
    <s v="Georgia"/>
    <x v="0"/>
    <x v="1"/>
    <x v="4"/>
    <s v="Personal File Boxes with Fold-Down Carry Handle"/>
    <n v="46.74"/>
    <n v="3"/>
    <n v="0"/>
    <n v="11.69"/>
  </r>
  <r>
    <x v="199"/>
    <x v="1"/>
    <x v="10"/>
    <s v="22-03-2012"/>
    <n v="6"/>
    <x v="1"/>
    <s v="Christopher Martinez"/>
    <x v="0"/>
    <s v="United States"/>
    <s v="Atlanta"/>
    <s v="Georgia"/>
    <x v="0"/>
    <x v="1"/>
    <x v="8"/>
    <s v="Fellowes PB500 Electric Punch Plastic Comb Binding Machine with Manual Bind"/>
    <n v="6354.95"/>
    <n v="5"/>
    <n v="0"/>
    <n v="3177.48"/>
  </r>
  <r>
    <x v="200"/>
    <x v="3"/>
    <x v="0"/>
    <s v="28-11-2014"/>
    <n v="1"/>
    <x v="2"/>
    <s v="Lynn Smith"/>
    <x v="0"/>
    <s v="United States"/>
    <s v="Gladstone"/>
    <s v="Missouri"/>
    <x v="2"/>
    <x v="0"/>
    <x v="5"/>
    <s v="Executive Impressions Supervisor Wall Clock"/>
    <n v="126.3"/>
    <n v="3"/>
    <n v="0"/>
    <n v="40.42"/>
  </r>
  <r>
    <x v="200"/>
    <x v="3"/>
    <x v="0"/>
    <s v="28-11-2014"/>
    <n v="1"/>
    <x v="2"/>
    <s v="Lynn Smith"/>
    <x v="0"/>
    <s v="United States"/>
    <s v="Gladstone"/>
    <s v="Missouri"/>
    <x v="2"/>
    <x v="2"/>
    <x v="11"/>
    <s v="SanDisk Cruzer 32 GB USB Flash Drive"/>
    <n v="38.04"/>
    <n v="2"/>
    <n v="0"/>
    <n v="12.17"/>
  </r>
  <r>
    <x v="201"/>
    <x v="0"/>
    <x v="2"/>
    <s v="24-10-2013"/>
    <n v="3"/>
    <x v="2"/>
    <s v="Luke Foster"/>
    <x v="0"/>
    <s v="United States"/>
    <s v="Newark"/>
    <s v="Ohio"/>
    <x v="3"/>
    <x v="1"/>
    <x v="6"/>
    <s v="Premium Writing Pencils, Soft, #2 by Central Association for the Blind"/>
    <n v="7.15"/>
    <n v="3"/>
    <n v="0.2"/>
    <n v="0.72"/>
  </r>
  <r>
    <x v="202"/>
    <x v="3"/>
    <x v="4"/>
    <s v="26-12-2014"/>
    <n v="4"/>
    <x v="1"/>
    <s v="Bradley Nguyen"/>
    <x v="0"/>
    <s v="United States"/>
    <s v="Los Angeles"/>
    <s v="California"/>
    <x v="1"/>
    <x v="1"/>
    <x v="6"/>
    <s v="Newell 327"/>
    <n v="6.63"/>
    <n v="3"/>
    <n v="0"/>
    <n v="1.79"/>
  </r>
  <r>
    <x v="202"/>
    <x v="3"/>
    <x v="4"/>
    <s v="26-12-2014"/>
    <n v="4"/>
    <x v="1"/>
    <s v="Bradley Nguyen"/>
    <x v="0"/>
    <s v="United States"/>
    <s v="Los Angeles"/>
    <s v="California"/>
    <x v="1"/>
    <x v="1"/>
    <x v="6"/>
    <s v="Newell 317"/>
    <n v="5.88"/>
    <n v="2"/>
    <n v="0"/>
    <n v="1.71"/>
  </r>
  <r>
    <x v="203"/>
    <x v="3"/>
    <x v="9"/>
    <s v="28-01-2014"/>
    <n v="5"/>
    <x v="1"/>
    <s v="Alan Dominguez"/>
    <x v="2"/>
    <s v="United States"/>
    <s v="Great Falls"/>
    <s v="Montana"/>
    <x v="1"/>
    <x v="2"/>
    <x v="16"/>
    <s v="Canon Image Class D660 Copier"/>
    <n v="2999.95"/>
    <n v="5"/>
    <n v="0"/>
    <n v="1379.98"/>
  </r>
  <r>
    <x v="203"/>
    <x v="3"/>
    <x v="9"/>
    <s v="28-01-2014"/>
    <n v="5"/>
    <x v="1"/>
    <s v="Alan Dominguez"/>
    <x v="2"/>
    <s v="United States"/>
    <s v="Great Falls"/>
    <s v="Montana"/>
    <x v="1"/>
    <x v="1"/>
    <x v="4"/>
    <s v="Advantus Rolling Storage Box"/>
    <n v="51.45"/>
    <n v="3"/>
    <n v="0"/>
    <n v="13.89"/>
  </r>
  <r>
    <x v="203"/>
    <x v="3"/>
    <x v="9"/>
    <s v="28-01-2014"/>
    <n v="5"/>
    <x v="1"/>
    <s v="Alan Dominguez"/>
    <x v="2"/>
    <s v="United States"/>
    <s v="Great Falls"/>
    <s v="Montana"/>
    <x v="1"/>
    <x v="1"/>
    <x v="10"/>
    <s v="Great White Multi-Use Recycled Paper (20Lb. and 84 Bright)"/>
    <n v="11.96"/>
    <n v="2"/>
    <n v="0"/>
    <n v="5.38"/>
  </r>
  <r>
    <x v="203"/>
    <x v="3"/>
    <x v="9"/>
    <s v="28-01-2014"/>
    <n v="5"/>
    <x v="1"/>
    <s v="Alan Dominguez"/>
    <x v="2"/>
    <s v="United States"/>
    <s v="Great Falls"/>
    <s v="Montana"/>
    <x v="1"/>
    <x v="1"/>
    <x v="4"/>
    <s v="Tennsco Single-Tier Lockers"/>
    <n v="1126.02"/>
    <n v="3"/>
    <n v="0"/>
    <n v="56.3"/>
  </r>
  <r>
    <x v="204"/>
    <x v="1"/>
    <x v="10"/>
    <s v="26-03-2012"/>
    <n v="4"/>
    <x v="1"/>
    <s v="Dean Braden"/>
    <x v="0"/>
    <s v="United States"/>
    <s v="Houston"/>
    <s v="Texas"/>
    <x v="2"/>
    <x v="2"/>
    <x v="11"/>
    <s v="Verbatim 25 GB 6x Blu-ray Single Layer Recordable Disc, 25/Pack"/>
    <n v="18.39"/>
    <n v="1"/>
    <n v="0.2"/>
    <n v="5.29"/>
  </r>
  <r>
    <x v="204"/>
    <x v="1"/>
    <x v="10"/>
    <s v="26-03-2012"/>
    <n v="4"/>
    <x v="1"/>
    <s v="Dean Braden"/>
    <x v="0"/>
    <s v="United States"/>
    <s v="Houston"/>
    <s v="Texas"/>
    <x v="2"/>
    <x v="1"/>
    <x v="4"/>
    <s v="Carina Double Wide Media Storage Towers in Natural &amp; Black"/>
    <n v="129.57"/>
    <n v="2"/>
    <n v="0.2"/>
    <n v="-25.91"/>
  </r>
  <r>
    <x v="204"/>
    <x v="1"/>
    <x v="10"/>
    <s v="26-03-2012"/>
    <n v="4"/>
    <x v="1"/>
    <s v="Dean Braden"/>
    <x v="0"/>
    <s v="United States"/>
    <s v="Houston"/>
    <s v="Texas"/>
    <x v="2"/>
    <x v="1"/>
    <x v="8"/>
    <s v="XtraLife ClearVue Slant-D Ring Binders by Cardinal"/>
    <n v="14.11"/>
    <n v="9"/>
    <n v="0.8"/>
    <n v="-21.17"/>
  </r>
  <r>
    <x v="205"/>
    <x v="3"/>
    <x v="9"/>
    <s v="26-01-2014"/>
    <n v="2"/>
    <x v="2"/>
    <s v="Matt Connell"/>
    <x v="1"/>
    <s v="United States"/>
    <s v="Detroit"/>
    <s v="Michigan"/>
    <x v="2"/>
    <x v="0"/>
    <x v="3"/>
    <s v="Balt Solid Wood Rectangular Table"/>
    <n v="210.98"/>
    <n v="2"/>
    <n v="0"/>
    <n v="21.1"/>
  </r>
  <r>
    <x v="206"/>
    <x v="0"/>
    <x v="5"/>
    <s v="24-05-2013"/>
    <n v="2"/>
    <x v="2"/>
    <s v="Logan Haushalter"/>
    <x v="0"/>
    <s v="United States"/>
    <s v="Los Angeles"/>
    <s v="California"/>
    <x v="1"/>
    <x v="2"/>
    <x v="7"/>
    <s v="Motorola HK250 Universal Bluetooth Headset"/>
    <n v="55.18"/>
    <n v="3"/>
    <n v="0.2"/>
    <n v="-12.41"/>
  </r>
  <r>
    <x v="206"/>
    <x v="0"/>
    <x v="5"/>
    <s v="24-05-2013"/>
    <n v="2"/>
    <x v="2"/>
    <s v="Logan Haushalter"/>
    <x v="0"/>
    <s v="United States"/>
    <s v="Los Angeles"/>
    <s v="California"/>
    <x v="1"/>
    <x v="2"/>
    <x v="11"/>
    <s v="Imation 16GB Mini TravelDrive USB 2.0 Flash Drive"/>
    <n v="66.260000000000005"/>
    <n v="2"/>
    <n v="0"/>
    <n v="27.17"/>
  </r>
  <r>
    <x v="207"/>
    <x v="1"/>
    <x v="4"/>
    <d v="2013-02-01T00:00:00"/>
    <n v="7"/>
    <x v="1"/>
    <s v="Brian Dahlen"/>
    <x v="0"/>
    <s v="United States"/>
    <s v="Lawrence"/>
    <s v="Massachusetts"/>
    <x v="3"/>
    <x v="1"/>
    <x v="13"/>
    <s v="Staples"/>
    <n v="22.2"/>
    <n v="5"/>
    <n v="0"/>
    <n v="10.43"/>
  </r>
  <r>
    <x v="208"/>
    <x v="3"/>
    <x v="2"/>
    <s v="27-10-2014"/>
    <n v="5"/>
    <x v="1"/>
    <s v="Patricia Hirasaki"/>
    <x v="2"/>
    <s v="United States"/>
    <s v="Lakeland"/>
    <s v="Florida"/>
    <x v="0"/>
    <x v="0"/>
    <x v="1"/>
    <s v="Global Commerce Series High-Back Swivel/Tilt Chairs"/>
    <n v="683.95"/>
    <n v="3"/>
    <n v="0.2"/>
    <n v="42.75"/>
  </r>
  <r>
    <x v="208"/>
    <x v="3"/>
    <x v="2"/>
    <s v="27-10-2014"/>
    <n v="5"/>
    <x v="1"/>
    <s v="Patricia Hirasaki"/>
    <x v="2"/>
    <s v="United States"/>
    <s v="Lakeland"/>
    <s v="Florida"/>
    <x v="0"/>
    <x v="0"/>
    <x v="5"/>
    <s v="Eldon Expressions Desk Accessory, Wood Photo Frame, Mahogany"/>
    <n v="45.7"/>
    <n v="3"/>
    <n v="0.2"/>
    <n v="5.14"/>
  </r>
  <r>
    <x v="37"/>
    <x v="1"/>
    <x v="8"/>
    <d v="2012-07-09T00:00:00"/>
    <n v="4"/>
    <x v="1"/>
    <s v="Mike Gockenbach"/>
    <x v="0"/>
    <s v="United States"/>
    <s v="Philadelphia"/>
    <s v="Pennsylvania"/>
    <x v="3"/>
    <x v="1"/>
    <x v="4"/>
    <s v="Eldon Gobal File Keepers"/>
    <n v="36.340000000000003"/>
    <n v="3"/>
    <n v="0.2"/>
    <n v="-7.27"/>
  </r>
  <r>
    <x v="37"/>
    <x v="1"/>
    <x v="8"/>
    <d v="2012-07-09T00:00:00"/>
    <n v="4"/>
    <x v="1"/>
    <s v="Mike Gockenbach"/>
    <x v="0"/>
    <s v="United States"/>
    <s v="Philadelphia"/>
    <s v="Pennsylvania"/>
    <x v="3"/>
    <x v="1"/>
    <x v="14"/>
    <s v="Martin Yale Chadless Opener Electric Letter Opener"/>
    <n v="666.25"/>
    <n v="1"/>
    <n v="0.2"/>
    <n v="-149.91"/>
  </r>
  <r>
    <x v="37"/>
    <x v="1"/>
    <x v="8"/>
    <d v="2012-07-09T00:00:00"/>
    <n v="4"/>
    <x v="1"/>
    <s v="Mike Gockenbach"/>
    <x v="0"/>
    <s v="United States"/>
    <s v="Philadelphia"/>
    <s v="Pennsylvania"/>
    <x v="3"/>
    <x v="1"/>
    <x v="12"/>
    <s v="White Business Envelopes with Contemporary Seam, Recycled White Business Envelopes"/>
    <n v="52.51"/>
    <n v="6"/>
    <n v="0.2"/>
    <n v="19.690000000000001"/>
  </r>
  <r>
    <x v="209"/>
    <x v="1"/>
    <x v="0"/>
    <d v="2012-09-11T00:00:00"/>
    <n v="2"/>
    <x v="0"/>
    <s v="Karen Bern"/>
    <x v="1"/>
    <s v="United States"/>
    <s v="Los Angeles"/>
    <s v="California"/>
    <x v="1"/>
    <x v="0"/>
    <x v="1"/>
    <s v="Safco Contoured Stacking Chairs"/>
    <n v="190.72"/>
    <n v="1"/>
    <n v="0.2"/>
    <n v="11.92"/>
  </r>
  <r>
    <x v="210"/>
    <x v="3"/>
    <x v="8"/>
    <d v="2014-12-09T00:00:00"/>
    <n v="4"/>
    <x v="1"/>
    <s v="Jasper Cacioppo"/>
    <x v="0"/>
    <s v="United States"/>
    <s v="Los Angeles"/>
    <s v="California"/>
    <x v="1"/>
    <x v="0"/>
    <x v="5"/>
    <s v="Tenex Chairmats For Use With Carpeted Floors"/>
    <n v="47.94"/>
    <n v="3"/>
    <n v="0"/>
    <n v="2.4"/>
  </r>
  <r>
    <x v="211"/>
    <x v="0"/>
    <x v="5"/>
    <d v="2013-02-06T00:00:00"/>
    <n v="3"/>
    <x v="0"/>
    <s v="Rob Lucas"/>
    <x v="0"/>
    <s v="United States"/>
    <s v="Montgomery"/>
    <s v="Alabama"/>
    <x v="0"/>
    <x v="2"/>
    <x v="7"/>
    <s v="Panasonic KX-TG9471B"/>
    <n v="979.95"/>
    <n v="5"/>
    <n v="0"/>
    <n v="274.39"/>
  </r>
  <r>
    <x v="211"/>
    <x v="0"/>
    <x v="5"/>
    <d v="2013-02-06T00:00:00"/>
    <n v="3"/>
    <x v="0"/>
    <s v="Rob Lucas"/>
    <x v="0"/>
    <s v="United States"/>
    <s v="Montgomery"/>
    <s v="Alabama"/>
    <x v="0"/>
    <x v="1"/>
    <x v="8"/>
    <s v="Presstex Flexible Ring Binders"/>
    <n v="22.75"/>
    <n v="5"/>
    <n v="0"/>
    <n v="11.38"/>
  </r>
  <r>
    <x v="212"/>
    <x v="0"/>
    <x v="7"/>
    <s v="17-07-2013"/>
    <n v="6"/>
    <x v="1"/>
    <s v="Allen Armold"/>
    <x v="0"/>
    <s v="United States"/>
    <s v="Mesa"/>
    <s v="Arizona"/>
    <x v="1"/>
    <x v="1"/>
    <x v="4"/>
    <s v="Sterilite Officeware Hinged File Box"/>
    <n v="16.77"/>
    <n v="2"/>
    <n v="0.2"/>
    <n v="1.47"/>
  </r>
  <r>
    <x v="213"/>
    <x v="3"/>
    <x v="8"/>
    <d v="2014-09-09T00:00:00"/>
    <n v="5"/>
    <x v="0"/>
    <s v="Emily Phan"/>
    <x v="0"/>
    <s v="United States"/>
    <s v="Chicago"/>
    <s v="Illinois"/>
    <x v="2"/>
    <x v="1"/>
    <x v="8"/>
    <s v="Premier Elliptical Ring Binder, Black"/>
    <n v="42.62"/>
    <n v="7"/>
    <n v="0.8"/>
    <n v="-68.19"/>
  </r>
  <r>
    <x v="155"/>
    <x v="1"/>
    <x v="4"/>
    <d v="2012-08-12T00:00:00"/>
    <n v="5"/>
    <x v="1"/>
    <s v="Mark Packer"/>
    <x v="2"/>
    <s v="United States"/>
    <s v="New York City"/>
    <s v="New York"/>
    <x v="3"/>
    <x v="1"/>
    <x v="8"/>
    <s v="Cardinal Poly Pocket Divider Pockets for Ring Binders"/>
    <n v="10.75"/>
    <n v="4"/>
    <n v="0.2"/>
    <n v="3.36"/>
  </r>
  <r>
    <x v="214"/>
    <x v="1"/>
    <x v="4"/>
    <d v="2012-11-12T00:00:00"/>
    <n v="4"/>
    <x v="1"/>
    <s v="Darren Koutras"/>
    <x v="0"/>
    <s v="United States"/>
    <s v="Henderson"/>
    <s v="Kentucky"/>
    <x v="0"/>
    <x v="1"/>
    <x v="9"/>
    <s v="Eureka The Boss Cordless Rechargeable Stick Vac"/>
    <n v="152.94"/>
    <n v="3"/>
    <n v="0"/>
    <n v="41.29"/>
  </r>
  <r>
    <x v="214"/>
    <x v="1"/>
    <x v="4"/>
    <d v="2012-11-12T00:00:00"/>
    <n v="4"/>
    <x v="1"/>
    <s v="Darren Koutras"/>
    <x v="0"/>
    <s v="United States"/>
    <s v="Henderson"/>
    <s v="Kentucky"/>
    <x v="0"/>
    <x v="0"/>
    <x v="1"/>
    <s v="Situations Contoured Folding Chairs, 4/Set"/>
    <n v="283.92"/>
    <n v="4"/>
    <n v="0"/>
    <n v="70.98"/>
  </r>
  <r>
    <x v="215"/>
    <x v="2"/>
    <x v="11"/>
    <d v="2011-04-02T00:00:00"/>
    <n v="2"/>
    <x v="2"/>
    <s v="Bradley Drucker"/>
    <x v="0"/>
    <s v="United States"/>
    <s v="Green Bay"/>
    <s v="Wisconsin"/>
    <x v="2"/>
    <x v="2"/>
    <x v="11"/>
    <s v="Enermax Aurora Lite Keyboard"/>
    <n v="468.9"/>
    <n v="6"/>
    <n v="0"/>
    <n v="206.32"/>
  </r>
  <r>
    <x v="216"/>
    <x v="0"/>
    <x v="7"/>
    <s v="18-07-2013"/>
    <n v="3"/>
    <x v="2"/>
    <s v="Erin Smith"/>
    <x v="1"/>
    <s v="United States"/>
    <s v="Tucson"/>
    <s v="Arizona"/>
    <x v="1"/>
    <x v="2"/>
    <x v="7"/>
    <s v="LG Electronics Tone+ HBS-730 Bluetooth Headset"/>
    <n v="380.86"/>
    <n v="8"/>
    <n v="0.2"/>
    <n v="38.090000000000003"/>
  </r>
  <r>
    <x v="217"/>
    <x v="1"/>
    <x v="4"/>
    <s v="23-12-2012"/>
    <n v="5"/>
    <x v="1"/>
    <s v="Liz MacKendrick"/>
    <x v="0"/>
    <s v="United States"/>
    <s v="Springfield"/>
    <s v="Ohio"/>
    <x v="3"/>
    <x v="1"/>
    <x v="4"/>
    <s v="Fellowes Officeware Wire Shelving"/>
    <n v="646.78"/>
    <n v="9"/>
    <n v="0.2"/>
    <n v="-145.52000000000001"/>
  </r>
  <r>
    <x v="218"/>
    <x v="2"/>
    <x v="5"/>
    <s v="16-05-2011"/>
    <n v="5"/>
    <x v="1"/>
    <s v="Paul Gonzalez"/>
    <x v="0"/>
    <s v="United States"/>
    <s v="Fort Worth"/>
    <s v="Texas"/>
    <x v="2"/>
    <x v="2"/>
    <x v="11"/>
    <s v="SanDisk Cruzer 64 GB USB Flash Drive"/>
    <n v="58.11"/>
    <n v="2"/>
    <n v="0.2"/>
    <n v="7.26"/>
  </r>
  <r>
    <x v="218"/>
    <x v="2"/>
    <x v="5"/>
    <s v="16-05-2011"/>
    <n v="5"/>
    <x v="1"/>
    <s v="Paul Gonzalez"/>
    <x v="0"/>
    <s v="United States"/>
    <s v="Fort Worth"/>
    <s v="Texas"/>
    <x v="2"/>
    <x v="2"/>
    <x v="7"/>
    <s v="Xblue XB-1670-86 X16 Small Office Telephone - Titanium"/>
    <n v="100.79"/>
    <n v="1"/>
    <n v="0.2"/>
    <n v="6.3"/>
  </r>
  <r>
    <x v="218"/>
    <x v="2"/>
    <x v="5"/>
    <s v="16-05-2011"/>
    <n v="5"/>
    <x v="1"/>
    <s v="Paul Gonzalez"/>
    <x v="0"/>
    <s v="United States"/>
    <s v="Fort Worth"/>
    <s v="Texas"/>
    <x v="2"/>
    <x v="0"/>
    <x v="5"/>
    <s v="Deflect-o EconoMat Studded, No Bevel Mat for Low Pile Carpeting"/>
    <n v="66.11"/>
    <n v="4"/>
    <n v="0.6"/>
    <n v="-84.29"/>
  </r>
  <r>
    <x v="123"/>
    <x v="3"/>
    <x v="0"/>
    <s v="23-11-2014"/>
    <n v="3"/>
    <x v="2"/>
    <s v="Adrian Shami"/>
    <x v="2"/>
    <s v="United States"/>
    <s v="New York City"/>
    <s v="New York"/>
    <x v="3"/>
    <x v="1"/>
    <x v="8"/>
    <s v="Avery Printable Repositionable Plastic Tabs"/>
    <n v="41.28"/>
    <n v="6"/>
    <n v="0.2"/>
    <n v="13.93"/>
  </r>
  <r>
    <x v="123"/>
    <x v="3"/>
    <x v="0"/>
    <s v="23-11-2014"/>
    <n v="3"/>
    <x v="2"/>
    <s v="Adrian Shami"/>
    <x v="2"/>
    <s v="United States"/>
    <s v="New York City"/>
    <s v="New York"/>
    <x v="3"/>
    <x v="1"/>
    <x v="10"/>
    <s v="Xerox 1898"/>
    <n v="13.36"/>
    <n v="2"/>
    <n v="0"/>
    <n v="6.41"/>
  </r>
  <r>
    <x v="219"/>
    <x v="1"/>
    <x v="0"/>
    <s v="17-11-2012"/>
    <n v="2"/>
    <x v="0"/>
    <s v="Dean Katz"/>
    <x v="1"/>
    <s v="United States"/>
    <s v="Chicago"/>
    <s v="Illinois"/>
    <x v="2"/>
    <x v="1"/>
    <x v="4"/>
    <s v="Home/Office Personal File Carts"/>
    <n v="250.27"/>
    <n v="9"/>
    <n v="0.2"/>
    <n v="15.64"/>
  </r>
  <r>
    <x v="219"/>
    <x v="1"/>
    <x v="0"/>
    <s v="17-11-2012"/>
    <n v="2"/>
    <x v="0"/>
    <s v="Dean Katz"/>
    <x v="1"/>
    <s v="United States"/>
    <s v="Chicago"/>
    <s v="Illinois"/>
    <x v="2"/>
    <x v="1"/>
    <x v="8"/>
    <s v="Flexible Leather- Look Classic Collection Ring Binder"/>
    <n v="11.36"/>
    <n v="3"/>
    <n v="0.8"/>
    <n v="-17.05"/>
  </r>
  <r>
    <x v="219"/>
    <x v="1"/>
    <x v="0"/>
    <s v="17-11-2012"/>
    <n v="2"/>
    <x v="0"/>
    <s v="Dean Katz"/>
    <x v="1"/>
    <s v="United States"/>
    <s v="Chicago"/>
    <s v="Illinois"/>
    <x v="2"/>
    <x v="1"/>
    <x v="14"/>
    <s v="Staples"/>
    <n v="8.7200000000000006"/>
    <n v="5"/>
    <n v="0.2"/>
    <n v="-1.74"/>
  </r>
  <r>
    <x v="173"/>
    <x v="0"/>
    <x v="3"/>
    <s v="18-04-2013"/>
    <n v="2"/>
    <x v="0"/>
    <s v="Bill Donatelli"/>
    <x v="0"/>
    <s v="United States"/>
    <s v="San Francisco"/>
    <s v="California"/>
    <x v="1"/>
    <x v="0"/>
    <x v="1"/>
    <s v="HON 5400 Series Task Chairs for Big and Tall"/>
    <n v="1121.57"/>
    <n v="2"/>
    <n v="0.2"/>
    <n v="0"/>
  </r>
  <r>
    <x v="220"/>
    <x v="3"/>
    <x v="8"/>
    <s v="13-09-2014"/>
    <n v="1"/>
    <x v="2"/>
    <s v="Ryan Crowe"/>
    <x v="0"/>
    <s v="United States"/>
    <s v="Jacksonville"/>
    <s v="Florida"/>
    <x v="0"/>
    <x v="0"/>
    <x v="5"/>
    <s v="Howard Miller 11-1/2&quot; Diameter Grantwood Wall Clock"/>
    <n v="34.5"/>
    <n v="1"/>
    <n v="0.2"/>
    <n v="6.04"/>
  </r>
  <r>
    <x v="221"/>
    <x v="3"/>
    <x v="0"/>
    <s v="29-11-2014"/>
    <n v="4"/>
    <x v="1"/>
    <s v="Greg Tran"/>
    <x v="0"/>
    <s v="United States"/>
    <s v="Houston"/>
    <s v="Texas"/>
    <x v="2"/>
    <x v="1"/>
    <x v="13"/>
    <s v="Advantus T-Pin Paper Clips"/>
    <n v="10.82"/>
    <n v="3"/>
    <n v="0.2"/>
    <n v="2.57"/>
  </r>
  <r>
    <x v="222"/>
    <x v="3"/>
    <x v="1"/>
    <d v="2014-04-07T00:00:00"/>
    <n v="4"/>
    <x v="0"/>
    <s v="Dean Katz"/>
    <x v="1"/>
    <s v="United States"/>
    <s v="Anaheim"/>
    <s v="California"/>
    <x v="1"/>
    <x v="1"/>
    <x v="4"/>
    <s v="Tennsco 16-Compartment Lockers with Coat Rack"/>
    <n v="1295.78"/>
    <n v="2"/>
    <n v="0"/>
    <n v="310.99"/>
  </r>
  <r>
    <x v="223"/>
    <x v="2"/>
    <x v="10"/>
    <d v="2011-07-03T00:00:00"/>
    <n v="4"/>
    <x v="0"/>
    <s v="Ashley Jarboe"/>
    <x v="0"/>
    <s v="United States"/>
    <s v="Wilmington"/>
    <s v="North Carolina"/>
    <x v="0"/>
    <x v="1"/>
    <x v="6"/>
    <s v="Zebra Zazzle Fluorescent Highlighters"/>
    <n v="19.46"/>
    <n v="4"/>
    <n v="0.2"/>
    <n v="3.4"/>
  </r>
  <r>
    <x v="224"/>
    <x v="0"/>
    <x v="1"/>
    <s v="16-06-2013"/>
    <n v="5"/>
    <x v="1"/>
    <s v="Olvera Toch"/>
    <x v="0"/>
    <s v="United States"/>
    <s v="Los Angeles"/>
    <s v="California"/>
    <x v="1"/>
    <x v="1"/>
    <x v="2"/>
    <s v="Avery 473"/>
    <n v="20.7"/>
    <n v="2"/>
    <n v="0"/>
    <n v="9.94"/>
  </r>
  <r>
    <x v="224"/>
    <x v="0"/>
    <x v="1"/>
    <s v="16-06-2013"/>
    <n v="5"/>
    <x v="1"/>
    <s v="Olvera Toch"/>
    <x v="0"/>
    <s v="United States"/>
    <s v="Los Angeles"/>
    <s v="California"/>
    <x v="1"/>
    <x v="0"/>
    <x v="3"/>
    <s v="Bretford “Just In Time” Height-Adjustable Multi-Task Work Tables"/>
    <n v="1335.68"/>
    <n v="4"/>
    <n v="0.2"/>
    <n v="-217.05"/>
  </r>
  <r>
    <x v="224"/>
    <x v="0"/>
    <x v="1"/>
    <s v="16-06-2013"/>
    <n v="5"/>
    <x v="1"/>
    <s v="Olvera Toch"/>
    <x v="0"/>
    <s v="United States"/>
    <s v="Los Angeles"/>
    <s v="California"/>
    <x v="1"/>
    <x v="1"/>
    <x v="10"/>
    <s v="Xerox 226"/>
    <n v="32.4"/>
    <n v="5"/>
    <n v="0"/>
    <n v="15.55"/>
  </r>
  <r>
    <x v="225"/>
    <x v="3"/>
    <x v="0"/>
    <s v="23-11-2014"/>
    <n v="2"/>
    <x v="0"/>
    <s v="Liz Pelletier"/>
    <x v="0"/>
    <s v="United States"/>
    <s v="San Francisco"/>
    <s v="California"/>
    <x v="1"/>
    <x v="0"/>
    <x v="5"/>
    <s v="Coloredge Poster Frame"/>
    <n v="42.6"/>
    <n v="3"/>
    <n v="0"/>
    <n v="16.61"/>
  </r>
  <r>
    <x v="225"/>
    <x v="3"/>
    <x v="0"/>
    <s v="23-11-2014"/>
    <n v="2"/>
    <x v="0"/>
    <s v="Liz Pelletier"/>
    <x v="0"/>
    <s v="United States"/>
    <s v="San Francisco"/>
    <s v="California"/>
    <x v="1"/>
    <x v="1"/>
    <x v="8"/>
    <s v="GBC Prepunched Paper, 19-Hole, for Binding Systems, 24-lb"/>
    <n v="84.06"/>
    <n v="7"/>
    <n v="0.2"/>
    <n v="27.32"/>
  </r>
  <r>
    <x v="80"/>
    <x v="2"/>
    <x v="8"/>
    <s v="18-09-2011"/>
    <n v="4"/>
    <x v="0"/>
    <s v="Cynthia Arntzen"/>
    <x v="0"/>
    <s v="United States"/>
    <s v="Tampa"/>
    <s v="Florida"/>
    <x v="0"/>
    <x v="1"/>
    <x v="9"/>
    <s v="Sanitaire Vibra Groomer IR Commercial Upright Vacuum, Replacement Belts"/>
    <n v="13"/>
    <n v="5"/>
    <n v="0.2"/>
    <n v="1.3"/>
  </r>
  <r>
    <x v="80"/>
    <x v="2"/>
    <x v="8"/>
    <s v="18-09-2011"/>
    <n v="4"/>
    <x v="0"/>
    <s v="Cynthia Arntzen"/>
    <x v="0"/>
    <s v="United States"/>
    <s v="Tampa"/>
    <s v="Florida"/>
    <x v="0"/>
    <x v="0"/>
    <x v="5"/>
    <s v="Advantus Panel Wall Acrylic Frame"/>
    <n v="13.13"/>
    <n v="3"/>
    <n v="0.2"/>
    <n v="3.77"/>
  </r>
  <r>
    <x v="214"/>
    <x v="1"/>
    <x v="4"/>
    <d v="2012-09-12T00:00:00"/>
    <n v="2"/>
    <x v="2"/>
    <s v="Jeremy Farry"/>
    <x v="0"/>
    <s v="United States"/>
    <s v="Seattle"/>
    <s v="Washington"/>
    <x v="1"/>
    <x v="1"/>
    <x v="13"/>
    <s v="Alliance Big Bands Rubber Bands, 12/Pack"/>
    <n v="3.96"/>
    <n v="2"/>
    <n v="0"/>
    <n v="0"/>
  </r>
  <r>
    <x v="214"/>
    <x v="1"/>
    <x v="4"/>
    <d v="2012-09-12T00:00:00"/>
    <n v="2"/>
    <x v="2"/>
    <s v="Jeremy Farry"/>
    <x v="0"/>
    <s v="United States"/>
    <s v="Seattle"/>
    <s v="Washington"/>
    <x v="1"/>
    <x v="1"/>
    <x v="2"/>
    <s v="Avery 509"/>
    <n v="2.61"/>
    <n v="1"/>
    <n v="0"/>
    <n v="1.2"/>
  </r>
  <r>
    <x v="226"/>
    <x v="3"/>
    <x v="4"/>
    <d v="2014-11-12T00:00:00"/>
    <n v="3"/>
    <x v="2"/>
    <s v="Frank Preis"/>
    <x v="0"/>
    <s v="United States"/>
    <s v="Los Angeles"/>
    <s v="California"/>
    <x v="1"/>
    <x v="2"/>
    <x v="7"/>
    <s v="Cisco SPA301"/>
    <n v="374.38"/>
    <n v="3"/>
    <n v="0.2"/>
    <n v="46.8"/>
  </r>
  <r>
    <x v="172"/>
    <x v="3"/>
    <x v="2"/>
    <d v="2014-09-10T00:00:00"/>
    <n v="7"/>
    <x v="1"/>
    <s v="Ellis Ballard"/>
    <x v="1"/>
    <s v="United States"/>
    <s v="Seattle"/>
    <s v="Washington"/>
    <x v="1"/>
    <x v="1"/>
    <x v="10"/>
    <s v="Personal Creations Ink Jet Cards and Labels"/>
    <n v="91.84"/>
    <n v="8"/>
    <n v="0"/>
    <n v="45"/>
  </r>
  <r>
    <x v="172"/>
    <x v="3"/>
    <x v="2"/>
    <d v="2014-09-10T00:00:00"/>
    <n v="7"/>
    <x v="1"/>
    <s v="Ellis Ballard"/>
    <x v="1"/>
    <s v="United States"/>
    <s v="Seattle"/>
    <s v="Washington"/>
    <x v="1"/>
    <x v="1"/>
    <x v="8"/>
    <s v="GBC White Gloss Covers, Plain Front"/>
    <n v="81.09"/>
    <n v="7"/>
    <n v="0.2"/>
    <n v="27.37"/>
  </r>
  <r>
    <x v="172"/>
    <x v="3"/>
    <x v="2"/>
    <d v="2014-09-10T00:00:00"/>
    <n v="7"/>
    <x v="1"/>
    <s v="Ellis Ballard"/>
    <x v="1"/>
    <s v="United States"/>
    <s v="Seattle"/>
    <s v="Washington"/>
    <x v="1"/>
    <x v="1"/>
    <x v="10"/>
    <s v="Xerox 222"/>
    <n v="19.440000000000001"/>
    <n v="3"/>
    <n v="0"/>
    <n v="9.33"/>
  </r>
  <r>
    <x v="172"/>
    <x v="3"/>
    <x v="2"/>
    <d v="2014-09-10T00:00:00"/>
    <n v="7"/>
    <x v="1"/>
    <s v="Ellis Ballard"/>
    <x v="1"/>
    <s v="United States"/>
    <s v="Seattle"/>
    <s v="Washington"/>
    <x v="1"/>
    <x v="0"/>
    <x v="1"/>
    <s v="Hon Every-Day Series Multi-Task Chairs"/>
    <n v="451.15"/>
    <n v="3"/>
    <n v="0.2"/>
    <n v="0"/>
  </r>
  <r>
    <x v="116"/>
    <x v="3"/>
    <x v="4"/>
    <d v="2015-05-01T00:00:00"/>
    <n v="7"/>
    <x v="1"/>
    <s v="Jennifer Ferguson"/>
    <x v="0"/>
    <s v="United States"/>
    <s v="New York City"/>
    <s v="New York"/>
    <x v="3"/>
    <x v="1"/>
    <x v="2"/>
    <s v="Avery 473"/>
    <n v="72.45"/>
    <n v="7"/>
    <n v="0"/>
    <n v="34.78"/>
  </r>
  <r>
    <x v="116"/>
    <x v="3"/>
    <x v="4"/>
    <d v="2015-05-01T00:00:00"/>
    <n v="7"/>
    <x v="1"/>
    <s v="Jennifer Ferguson"/>
    <x v="0"/>
    <s v="United States"/>
    <s v="New York City"/>
    <s v="New York"/>
    <x v="3"/>
    <x v="1"/>
    <x v="13"/>
    <s v="OIC Bulk Pack Metal Binder Clips"/>
    <n v="13.96"/>
    <n v="4"/>
    <n v="0"/>
    <n v="6.42"/>
  </r>
  <r>
    <x v="116"/>
    <x v="3"/>
    <x v="4"/>
    <d v="2015-05-01T00:00:00"/>
    <n v="7"/>
    <x v="1"/>
    <s v="Jennifer Ferguson"/>
    <x v="0"/>
    <s v="United States"/>
    <s v="New York City"/>
    <s v="New York"/>
    <x v="3"/>
    <x v="1"/>
    <x v="8"/>
    <s v="Storex Dura Pro Binders"/>
    <n v="33.26"/>
    <n v="7"/>
    <n v="0.2"/>
    <n v="11.23"/>
  </r>
  <r>
    <x v="116"/>
    <x v="3"/>
    <x v="4"/>
    <d v="2015-05-01T00:00:00"/>
    <n v="7"/>
    <x v="1"/>
    <s v="Jennifer Ferguson"/>
    <x v="0"/>
    <s v="United States"/>
    <s v="New York City"/>
    <s v="New York"/>
    <x v="3"/>
    <x v="2"/>
    <x v="7"/>
    <s v="Cush Cases Heavy Duty Rugged Cover Case for Samsung Galaxy S5 - Purple"/>
    <n v="14.85"/>
    <n v="3"/>
    <n v="0"/>
    <n v="4.01"/>
  </r>
  <r>
    <x v="54"/>
    <x v="0"/>
    <x v="0"/>
    <d v="2013-08-11T00:00:00"/>
    <n v="4"/>
    <x v="1"/>
    <s v="Sarah Foster"/>
    <x v="0"/>
    <s v="United States"/>
    <s v="Marysville"/>
    <s v="Washington"/>
    <x v="1"/>
    <x v="1"/>
    <x v="6"/>
    <s v="Newell 332"/>
    <n v="8.82"/>
    <n v="3"/>
    <n v="0"/>
    <n v="2.38"/>
  </r>
  <r>
    <x v="227"/>
    <x v="1"/>
    <x v="8"/>
    <s v="22-09-2012"/>
    <n v="4"/>
    <x v="0"/>
    <s v="Trudy Glocke"/>
    <x v="0"/>
    <s v="United States"/>
    <s v="Long Beach"/>
    <s v="California"/>
    <x v="1"/>
    <x v="1"/>
    <x v="10"/>
    <s v="Personal Creations Ink Jet Cards and Labels"/>
    <n v="160.72"/>
    <n v="14"/>
    <n v="0"/>
    <n v="78.75"/>
  </r>
  <r>
    <x v="227"/>
    <x v="1"/>
    <x v="8"/>
    <s v="22-09-2012"/>
    <n v="4"/>
    <x v="0"/>
    <s v="Trudy Glocke"/>
    <x v="0"/>
    <s v="United States"/>
    <s v="Long Beach"/>
    <s v="California"/>
    <x v="1"/>
    <x v="1"/>
    <x v="10"/>
    <s v="Rediform S.O.S. Phone Message Books"/>
    <n v="19.920000000000002"/>
    <n v="4"/>
    <n v="0"/>
    <n v="9.76"/>
  </r>
  <r>
    <x v="227"/>
    <x v="1"/>
    <x v="8"/>
    <s v="22-09-2012"/>
    <n v="4"/>
    <x v="0"/>
    <s v="Trudy Glocke"/>
    <x v="0"/>
    <s v="United States"/>
    <s v="Long Beach"/>
    <s v="California"/>
    <x v="1"/>
    <x v="1"/>
    <x v="14"/>
    <s v="Acme Value Line Scissors"/>
    <n v="7.3"/>
    <n v="2"/>
    <n v="0"/>
    <n v="2.19"/>
  </r>
  <r>
    <x v="228"/>
    <x v="3"/>
    <x v="7"/>
    <s v="27-07-2014"/>
    <n v="6"/>
    <x v="1"/>
    <s v="Carlos Soltero"/>
    <x v="0"/>
    <s v="United States"/>
    <s v="Chicago"/>
    <s v="Illinois"/>
    <x v="2"/>
    <x v="1"/>
    <x v="4"/>
    <s v="Trav-L-File Heavy-Duty Shuttle II, Black"/>
    <n v="69.709999999999994"/>
    <n v="2"/>
    <n v="0.2"/>
    <n v="8.7100000000000009"/>
  </r>
  <r>
    <x v="228"/>
    <x v="3"/>
    <x v="7"/>
    <s v="27-07-2014"/>
    <n v="6"/>
    <x v="1"/>
    <s v="Carlos Soltero"/>
    <x v="0"/>
    <s v="United States"/>
    <s v="Chicago"/>
    <s v="Illinois"/>
    <x v="2"/>
    <x v="0"/>
    <x v="5"/>
    <s v="Contract Clock, 14&quot;, Brown"/>
    <n v="8.7899999999999991"/>
    <n v="1"/>
    <n v="0.6"/>
    <n v="-5.71"/>
  </r>
  <r>
    <x v="229"/>
    <x v="1"/>
    <x v="8"/>
    <s v="14-09-2012"/>
    <n v="4"/>
    <x v="1"/>
    <s v="Charles Crestani"/>
    <x v="0"/>
    <s v="United States"/>
    <s v="Los Angeles"/>
    <s v="California"/>
    <x v="1"/>
    <x v="1"/>
    <x v="14"/>
    <s v="Martin-Yale Premier Letter Opener"/>
    <n v="51.52"/>
    <n v="4"/>
    <n v="0"/>
    <n v="1.55"/>
  </r>
  <r>
    <x v="96"/>
    <x v="3"/>
    <x v="4"/>
    <d v="2014-06-12T00:00:00"/>
    <n v="4"/>
    <x v="1"/>
    <s v="Dianna Vittorini"/>
    <x v="0"/>
    <s v="United States"/>
    <s v="Denver"/>
    <s v="Colorado"/>
    <x v="1"/>
    <x v="2"/>
    <x v="7"/>
    <s v="GE 30524EE4"/>
    <n v="470.38"/>
    <n v="3"/>
    <n v="0.2"/>
    <n v="52.92"/>
  </r>
  <r>
    <x v="96"/>
    <x v="3"/>
    <x v="4"/>
    <d v="2014-06-12T00:00:00"/>
    <n v="4"/>
    <x v="1"/>
    <s v="Dianna Vittorini"/>
    <x v="0"/>
    <s v="United States"/>
    <s v="Denver"/>
    <s v="Colorado"/>
    <x v="1"/>
    <x v="2"/>
    <x v="7"/>
    <s v="AT&amp;T SB67148 SynJ"/>
    <n v="105.58"/>
    <n v="2"/>
    <n v="0.2"/>
    <n v="9.24"/>
  </r>
  <r>
    <x v="96"/>
    <x v="3"/>
    <x v="4"/>
    <d v="2014-06-12T00:00:00"/>
    <n v="4"/>
    <x v="1"/>
    <s v="Dianna Vittorini"/>
    <x v="0"/>
    <s v="United States"/>
    <s v="Denver"/>
    <s v="Colorado"/>
    <x v="1"/>
    <x v="1"/>
    <x v="9"/>
    <s v="Fellowes Basic Home/Office Series Surge Protectors"/>
    <n v="31.15"/>
    <n v="3"/>
    <n v="0.2"/>
    <n v="3.5"/>
  </r>
  <r>
    <x v="96"/>
    <x v="3"/>
    <x v="4"/>
    <d v="2014-06-12T00:00:00"/>
    <n v="4"/>
    <x v="1"/>
    <s v="Dianna Vittorini"/>
    <x v="0"/>
    <s v="United States"/>
    <s v="Denver"/>
    <s v="Colorado"/>
    <x v="1"/>
    <x v="1"/>
    <x v="8"/>
    <s v="Recycled Pressboard Report Cover with Reinforced Top Hinge"/>
    <n v="6.78"/>
    <n v="7"/>
    <n v="0.7"/>
    <n v="-4.75"/>
  </r>
  <r>
    <x v="96"/>
    <x v="3"/>
    <x v="4"/>
    <d v="2014-06-12T00:00:00"/>
    <n v="4"/>
    <x v="1"/>
    <s v="Dianna Vittorini"/>
    <x v="0"/>
    <s v="United States"/>
    <s v="Denver"/>
    <s v="Colorado"/>
    <x v="1"/>
    <x v="2"/>
    <x v="7"/>
    <s v="Jabra BIZ 2300 Duo QD Duo Corded Headset"/>
    <n v="406.37"/>
    <n v="4"/>
    <n v="0.2"/>
    <n v="30.48"/>
  </r>
  <r>
    <x v="230"/>
    <x v="1"/>
    <x v="7"/>
    <d v="2012-09-07T00:00:00"/>
    <n v="6"/>
    <x v="1"/>
    <s v="Bruce Degenhardt"/>
    <x v="0"/>
    <s v="United States"/>
    <s v="Richmond"/>
    <s v="Kentucky"/>
    <x v="0"/>
    <x v="0"/>
    <x v="1"/>
    <s v="Novimex High-Tech Fabric Mesh Task Chair"/>
    <n v="70.98"/>
    <n v="1"/>
    <n v="0"/>
    <n v="4.97"/>
  </r>
  <r>
    <x v="230"/>
    <x v="1"/>
    <x v="7"/>
    <d v="2012-09-07T00:00:00"/>
    <n v="6"/>
    <x v="1"/>
    <s v="Bruce Degenhardt"/>
    <x v="0"/>
    <s v="United States"/>
    <s v="Richmond"/>
    <s v="Kentucky"/>
    <x v="0"/>
    <x v="1"/>
    <x v="2"/>
    <s v="Dot Matrix Printer Tape Reel Labels, White, 5000/Box"/>
    <n v="294.93"/>
    <n v="3"/>
    <n v="0"/>
    <n v="144.52000000000001"/>
  </r>
  <r>
    <x v="231"/>
    <x v="0"/>
    <x v="10"/>
    <s v="25-03-2013"/>
    <n v="4"/>
    <x v="1"/>
    <s v="Zuschuss Carroll"/>
    <x v="0"/>
    <s v="United States"/>
    <s v="Salem"/>
    <s v="Oregon"/>
    <x v="1"/>
    <x v="2"/>
    <x v="7"/>
    <s v="i.Sound Portable Power - 8000 mAh"/>
    <n v="84.78"/>
    <n v="2"/>
    <n v="0.2"/>
    <n v="-20.14"/>
  </r>
  <r>
    <x v="231"/>
    <x v="0"/>
    <x v="10"/>
    <s v="25-03-2013"/>
    <n v="4"/>
    <x v="1"/>
    <s v="Zuschuss Carroll"/>
    <x v="0"/>
    <s v="United States"/>
    <s v="Salem"/>
    <s v="Oregon"/>
    <x v="1"/>
    <x v="1"/>
    <x v="10"/>
    <s v="Xerox 225"/>
    <n v="20.74"/>
    <n v="4"/>
    <n v="0.2"/>
    <n v="7.26"/>
  </r>
  <r>
    <x v="231"/>
    <x v="0"/>
    <x v="10"/>
    <s v="25-03-2013"/>
    <n v="4"/>
    <x v="1"/>
    <s v="Zuschuss Carroll"/>
    <x v="0"/>
    <s v="United States"/>
    <s v="Salem"/>
    <s v="Oregon"/>
    <x v="1"/>
    <x v="1"/>
    <x v="8"/>
    <s v="Clear Mylar Reinforcing Strips"/>
    <n v="16.82"/>
    <n v="3"/>
    <n v="0.7"/>
    <n v="-12.9"/>
  </r>
  <r>
    <x v="231"/>
    <x v="0"/>
    <x v="10"/>
    <s v="25-03-2013"/>
    <n v="4"/>
    <x v="1"/>
    <s v="Zuschuss Carroll"/>
    <x v="0"/>
    <s v="United States"/>
    <s v="Salem"/>
    <s v="Oregon"/>
    <x v="1"/>
    <x v="1"/>
    <x v="10"/>
    <s v="Xerox 1894"/>
    <n v="10.37"/>
    <n v="2"/>
    <n v="0.2"/>
    <n v="3.63"/>
  </r>
  <r>
    <x v="232"/>
    <x v="2"/>
    <x v="9"/>
    <s v="14-01-2011"/>
    <n v="4"/>
    <x v="1"/>
    <s v="Melanie Seite"/>
    <x v="0"/>
    <s v="United States"/>
    <s v="Laredo"/>
    <s v="Texas"/>
    <x v="2"/>
    <x v="1"/>
    <x v="6"/>
    <s v="Newell 312"/>
    <n v="9.34"/>
    <n v="2"/>
    <n v="0.2"/>
    <n v="1.17"/>
  </r>
  <r>
    <x v="232"/>
    <x v="2"/>
    <x v="9"/>
    <s v="14-01-2011"/>
    <n v="4"/>
    <x v="1"/>
    <s v="Melanie Seite"/>
    <x v="0"/>
    <s v="United States"/>
    <s v="Laredo"/>
    <s v="Texas"/>
    <x v="2"/>
    <x v="2"/>
    <x v="11"/>
    <s v="Memorex Micro Travel Drive 8 GB"/>
    <n v="31.2"/>
    <n v="3"/>
    <n v="0.2"/>
    <n v="9.75"/>
  </r>
  <r>
    <x v="233"/>
    <x v="2"/>
    <x v="6"/>
    <s v="15-08-2011"/>
    <n v="7"/>
    <x v="1"/>
    <s v="Lena Radford"/>
    <x v="0"/>
    <s v="United States"/>
    <s v="San Diego"/>
    <s v="California"/>
    <x v="1"/>
    <x v="1"/>
    <x v="9"/>
    <s v="Fellowes Superior 10 Outlet Split Surge Protector"/>
    <n v="76.12"/>
    <n v="2"/>
    <n v="0"/>
    <n v="22.07"/>
  </r>
  <r>
    <x v="233"/>
    <x v="2"/>
    <x v="6"/>
    <s v="15-08-2011"/>
    <n v="7"/>
    <x v="1"/>
    <s v="Lena Radford"/>
    <x v="0"/>
    <s v="United States"/>
    <s v="San Diego"/>
    <s v="California"/>
    <x v="1"/>
    <x v="2"/>
    <x v="16"/>
    <s v="Sharp AL-1530CS Digital Copier"/>
    <n v="1199.98"/>
    <n v="3"/>
    <n v="0.2"/>
    <n v="434.99"/>
  </r>
  <r>
    <x v="233"/>
    <x v="2"/>
    <x v="6"/>
    <s v="15-08-2011"/>
    <n v="7"/>
    <x v="1"/>
    <s v="Lena Radford"/>
    <x v="0"/>
    <s v="United States"/>
    <s v="San Diego"/>
    <s v="California"/>
    <x v="1"/>
    <x v="2"/>
    <x v="7"/>
    <s v="AT&amp;T 1070 Corded Phone"/>
    <n v="445.96"/>
    <n v="5"/>
    <n v="0.2"/>
    <n v="55.75"/>
  </r>
  <r>
    <x v="233"/>
    <x v="2"/>
    <x v="6"/>
    <s v="15-08-2011"/>
    <n v="7"/>
    <x v="1"/>
    <s v="Lena Radford"/>
    <x v="0"/>
    <s v="United States"/>
    <s v="San Diego"/>
    <s v="California"/>
    <x v="1"/>
    <x v="0"/>
    <x v="5"/>
    <s v="Dana Halogen Swing-Arm Architect Lamp"/>
    <n v="327.76"/>
    <n v="8"/>
    <n v="0"/>
    <n v="91.77"/>
  </r>
  <r>
    <x v="216"/>
    <x v="0"/>
    <x v="7"/>
    <s v="17-07-2013"/>
    <n v="2"/>
    <x v="2"/>
    <s v="Theone Pippenger"/>
    <x v="0"/>
    <s v="United States"/>
    <s v="Philadelphia"/>
    <s v="Pennsylvania"/>
    <x v="3"/>
    <x v="1"/>
    <x v="14"/>
    <s v="Acme Stainless Steel Office Snips"/>
    <n v="11.63"/>
    <n v="2"/>
    <n v="0.2"/>
    <n v="1.02"/>
  </r>
  <r>
    <x v="87"/>
    <x v="0"/>
    <x v="7"/>
    <s v="22-07-2013"/>
    <n v="5"/>
    <x v="1"/>
    <s v="Chloris Kastensmidt"/>
    <x v="0"/>
    <s v="United States"/>
    <s v="Philadelphia"/>
    <s v="Pennsylvania"/>
    <x v="3"/>
    <x v="2"/>
    <x v="7"/>
    <s v="Mophie Juice Pack Helium for iPhone"/>
    <n v="143.97999999999999"/>
    <n v="3"/>
    <n v="0.4"/>
    <n v="-28.8"/>
  </r>
  <r>
    <x v="87"/>
    <x v="0"/>
    <x v="7"/>
    <s v="22-07-2013"/>
    <n v="5"/>
    <x v="1"/>
    <s v="Chloris Kastensmidt"/>
    <x v="0"/>
    <s v="United States"/>
    <s v="Philadelphia"/>
    <s v="Pennsylvania"/>
    <x v="3"/>
    <x v="2"/>
    <x v="7"/>
    <s v="GE 2-Jack Phone Line Splitter"/>
    <n v="494.38"/>
    <n v="4"/>
    <n v="0.4"/>
    <n v="-115.35"/>
  </r>
  <r>
    <x v="87"/>
    <x v="0"/>
    <x v="7"/>
    <s v="22-07-2013"/>
    <n v="5"/>
    <x v="1"/>
    <s v="Chloris Kastensmidt"/>
    <x v="0"/>
    <s v="United States"/>
    <s v="Philadelphia"/>
    <s v="Pennsylvania"/>
    <x v="3"/>
    <x v="1"/>
    <x v="14"/>
    <s v="Acme Value Line Scissors"/>
    <n v="5.84"/>
    <n v="2"/>
    <n v="0.2"/>
    <n v="0.73"/>
  </r>
  <r>
    <x v="234"/>
    <x v="2"/>
    <x v="10"/>
    <s v="19-03-2011"/>
    <n v="4"/>
    <x v="1"/>
    <s v="Alan Shonely"/>
    <x v="0"/>
    <s v="United States"/>
    <s v="Tampa"/>
    <s v="Florida"/>
    <x v="0"/>
    <x v="1"/>
    <x v="4"/>
    <s v="Hot File 7-Pocket, Floor Stand"/>
    <n v="142.78"/>
    <n v="1"/>
    <n v="0.2"/>
    <n v="17.850000000000001"/>
  </r>
  <r>
    <x v="234"/>
    <x v="2"/>
    <x v="10"/>
    <s v="19-03-2011"/>
    <n v="4"/>
    <x v="1"/>
    <s v="Alan Shonely"/>
    <x v="0"/>
    <s v="United States"/>
    <s v="Tampa"/>
    <s v="Florida"/>
    <x v="0"/>
    <x v="0"/>
    <x v="5"/>
    <s v="Eldon Expressions Desk Accessory, Wood Photo Frame, Mahogany"/>
    <n v="45.7"/>
    <n v="3"/>
    <n v="0.2"/>
    <n v="5.14"/>
  </r>
  <r>
    <x v="234"/>
    <x v="2"/>
    <x v="10"/>
    <s v="19-03-2011"/>
    <n v="4"/>
    <x v="1"/>
    <s v="Alan Shonely"/>
    <x v="0"/>
    <s v="United States"/>
    <s v="Tampa"/>
    <s v="Florida"/>
    <x v="0"/>
    <x v="1"/>
    <x v="8"/>
    <s v="Insertable Tab Post Binder Dividers"/>
    <n v="7.22"/>
    <n v="3"/>
    <n v="0.7"/>
    <n v="-5.53"/>
  </r>
  <r>
    <x v="234"/>
    <x v="2"/>
    <x v="10"/>
    <s v="19-03-2011"/>
    <n v="4"/>
    <x v="1"/>
    <s v="Alan Shonely"/>
    <x v="0"/>
    <s v="United States"/>
    <s v="Tampa"/>
    <s v="Florida"/>
    <x v="0"/>
    <x v="1"/>
    <x v="8"/>
    <s v="GBC VeloBinder Manual Binding System"/>
    <n v="43.19"/>
    <n v="4"/>
    <n v="0.7"/>
    <n v="-31.67"/>
  </r>
  <r>
    <x v="234"/>
    <x v="2"/>
    <x v="10"/>
    <s v="19-03-2011"/>
    <n v="4"/>
    <x v="1"/>
    <s v="Alan Shonely"/>
    <x v="0"/>
    <s v="United States"/>
    <s v="Tampa"/>
    <s v="Florida"/>
    <x v="0"/>
    <x v="1"/>
    <x v="10"/>
    <s v="Xerox 1889"/>
    <n v="131.9"/>
    <n v="3"/>
    <n v="0.2"/>
    <n v="47.82"/>
  </r>
  <r>
    <x v="235"/>
    <x v="2"/>
    <x v="5"/>
    <s v="27-05-2011"/>
    <n v="4"/>
    <x v="1"/>
    <s v="Andrew Roberts"/>
    <x v="0"/>
    <s v="United States"/>
    <s v="Philadelphia"/>
    <s v="Pennsylvania"/>
    <x v="3"/>
    <x v="1"/>
    <x v="8"/>
    <s v="Angle-D Ring Binders"/>
    <n v="3.28"/>
    <n v="2"/>
    <n v="0.7"/>
    <n v="-2.63"/>
  </r>
  <r>
    <x v="235"/>
    <x v="2"/>
    <x v="5"/>
    <s v="27-05-2011"/>
    <n v="4"/>
    <x v="1"/>
    <s v="Andrew Roberts"/>
    <x v="0"/>
    <s v="United States"/>
    <s v="Philadelphia"/>
    <s v="Pennsylvania"/>
    <x v="3"/>
    <x v="1"/>
    <x v="6"/>
    <s v="Newell 317"/>
    <n v="21.17"/>
    <n v="9"/>
    <n v="0.2"/>
    <n v="2.38"/>
  </r>
  <r>
    <x v="235"/>
    <x v="2"/>
    <x v="5"/>
    <s v="27-05-2011"/>
    <n v="4"/>
    <x v="1"/>
    <s v="Andrew Roberts"/>
    <x v="0"/>
    <s v="United States"/>
    <s v="Philadelphia"/>
    <s v="Pennsylvania"/>
    <x v="3"/>
    <x v="2"/>
    <x v="7"/>
    <s v="Motorola L804"/>
    <n v="55.19"/>
    <n v="2"/>
    <n v="0.4"/>
    <n v="-10.119999999999999"/>
  </r>
  <r>
    <x v="236"/>
    <x v="0"/>
    <x v="3"/>
    <d v="2013-02-05T00:00:00"/>
    <n v="3"/>
    <x v="2"/>
    <s v="Nona Balk"/>
    <x v="1"/>
    <s v="United States"/>
    <s v="Dallas"/>
    <s v="Texas"/>
    <x v="2"/>
    <x v="2"/>
    <x v="7"/>
    <s v="Nortel Meridian M3904 Professional Digital phone"/>
    <n v="369.58"/>
    <n v="3"/>
    <n v="0.2"/>
    <n v="41.58"/>
  </r>
  <r>
    <x v="236"/>
    <x v="0"/>
    <x v="3"/>
    <d v="2013-02-05T00:00:00"/>
    <n v="3"/>
    <x v="2"/>
    <s v="Nona Balk"/>
    <x v="1"/>
    <s v="United States"/>
    <s v="Dallas"/>
    <s v="Texas"/>
    <x v="2"/>
    <x v="1"/>
    <x v="2"/>
    <s v="Avery 493"/>
    <n v="15.71"/>
    <n v="4"/>
    <n v="0.2"/>
    <n v="5.7"/>
  </r>
  <r>
    <x v="108"/>
    <x v="0"/>
    <x v="8"/>
    <s v="14-09-2013"/>
    <n v="2"/>
    <x v="0"/>
    <s v="Giulietta Dortch"/>
    <x v="1"/>
    <s v="United States"/>
    <s v="Philadelphia"/>
    <s v="Pennsylvania"/>
    <x v="3"/>
    <x v="1"/>
    <x v="10"/>
    <s v="Xerox 1972"/>
    <n v="8.4499999999999993"/>
    <n v="2"/>
    <n v="0.2"/>
    <n v="2.64"/>
  </r>
  <r>
    <x v="108"/>
    <x v="0"/>
    <x v="8"/>
    <s v="14-09-2013"/>
    <n v="2"/>
    <x v="0"/>
    <s v="Giulietta Dortch"/>
    <x v="1"/>
    <s v="United States"/>
    <s v="Philadelphia"/>
    <s v="Pennsylvania"/>
    <x v="3"/>
    <x v="2"/>
    <x v="7"/>
    <s v="Cisco 8x8 Inc. 6753i IP Business Phone System"/>
    <n v="728.95"/>
    <n v="9"/>
    <n v="0.4"/>
    <n v="-157.94"/>
  </r>
  <r>
    <x v="237"/>
    <x v="3"/>
    <x v="0"/>
    <s v="18-11-2014"/>
    <n v="3"/>
    <x v="0"/>
    <s v="Clytie Kelty"/>
    <x v="0"/>
    <s v="United States"/>
    <s v="Grove City"/>
    <s v="Ohio"/>
    <x v="3"/>
    <x v="2"/>
    <x v="7"/>
    <s v="PureGear Roll-On Screen Protector"/>
    <n v="119.94"/>
    <n v="10"/>
    <n v="0.4"/>
    <n v="15.99"/>
  </r>
  <r>
    <x v="237"/>
    <x v="3"/>
    <x v="0"/>
    <s v="18-11-2014"/>
    <n v="3"/>
    <x v="0"/>
    <s v="Clytie Kelty"/>
    <x v="0"/>
    <s v="United States"/>
    <s v="Grove City"/>
    <s v="Ohio"/>
    <x v="3"/>
    <x v="1"/>
    <x v="8"/>
    <s v="Prestige Round Ring Binders"/>
    <n v="3.65"/>
    <n v="2"/>
    <n v="0.7"/>
    <n v="-2.8"/>
  </r>
  <r>
    <x v="238"/>
    <x v="3"/>
    <x v="6"/>
    <s v="24-08-2014"/>
    <n v="5"/>
    <x v="0"/>
    <s v="Nat Gilpin"/>
    <x v="1"/>
    <s v="United States"/>
    <s v="New York City"/>
    <s v="New York"/>
    <x v="3"/>
    <x v="0"/>
    <x v="5"/>
    <s v="DAX Metal Frame, Desktop, Stepped-Edge"/>
    <n v="40.479999999999997"/>
    <n v="2"/>
    <n v="0"/>
    <n v="15.79"/>
  </r>
  <r>
    <x v="238"/>
    <x v="3"/>
    <x v="6"/>
    <s v="24-08-2014"/>
    <n v="5"/>
    <x v="0"/>
    <s v="Nat Gilpin"/>
    <x v="1"/>
    <s v="United States"/>
    <s v="New York City"/>
    <s v="New York"/>
    <x v="3"/>
    <x v="0"/>
    <x v="5"/>
    <s v="DAX Value U-Channel Document Frames, Easel Back"/>
    <n v="9.94"/>
    <n v="2"/>
    <n v="0"/>
    <n v="3.08"/>
  </r>
  <r>
    <x v="238"/>
    <x v="3"/>
    <x v="6"/>
    <s v="24-08-2014"/>
    <n v="5"/>
    <x v="0"/>
    <s v="Nat Gilpin"/>
    <x v="1"/>
    <s v="United States"/>
    <s v="New York City"/>
    <s v="New York"/>
    <x v="3"/>
    <x v="1"/>
    <x v="8"/>
    <s v="Recycled Easel Ring Binders"/>
    <n v="107.42"/>
    <n v="9"/>
    <n v="0.2"/>
    <n v="33.57"/>
  </r>
  <r>
    <x v="238"/>
    <x v="3"/>
    <x v="6"/>
    <s v="24-08-2014"/>
    <n v="5"/>
    <x v="0"/>
    <s v="Nat Gilpin"/>
    <x v="1"/>
    <s v="United States"/>
    <s v="New York City"/>
    <s v="New York"/>
    <x v="3"/>
    <x v="2"/>
    <x v="7"/>
    <s v="Grandstream GXP1160 VoIP phone"/>
    <n v="37.909999999999997"/>
    <n v="1"/>
    <n v="0"/>
    <n v="10.99"/>
  </r>
  <r>
    <x v="238"/>
    <x v="3"/>
    <x v="6"/>
    <s v="24-08-2014"/>
    <n v="5"/>
    <x v="0"/>
    <s v="Nat Gilpin"/>
    <x v="1"/>
    <s v="United States"/>
    <s v="New York City"/>
    <s v="New York"/>
    <x v="3"/>
    <x v="0"/>
    <x v="5"/>
    <s v="Seth Thomas 14&quot; Putty-Colored Wall Clock"/>
    <n v="88.02"/>
    <n v="3"/>
    <n v="0"/>
    <n v="27.29"/>
  </r>
  <r>
    <x v="58"/>
    <x v="2"/>
    <x v="4"/>
    <s v="31-12-2011"/>
    <n v="5"/>
    <x v="1"/>
    <s v="Christina Anderson"/>
    <x v="0"/>
    <s v="United States"/>
    <s v="Chicago"/>
    <s v="Illinois"/>
    <x v="2"/>
    <x v="1"/>
    <x v="8"/>
    <s v="Cardinal Slant-D Ring Binder, Heavy Gauge Vinyl"/>
    <n v="8.69"/>
    <n v="5"/>
    <n v="0.8"/>
    <n v="-14.77"/>
  </r>
  <r>
    <x v="239"/>
    <x v="1"/>
    <x v="0"/>
    <d v="2012-03-12T00:00:00"/>
    <n v="4"/>
    <x v="1"/>
    <s v="Sylvia Foulston"/>
    <x v="1"/>
    <s v="United States"/>
    <s v="Dearborn"/>
    <s v="Michigan"/>
    <x v="2"/>
    <x v="0"/>
    <x v="1"/>
    <s v="Global Manager's Adjustable Task Chair, Storm"/>
    <n v="301.95999999999998"/>
    <n v="2"/>
    <n v="0"/>
    <n v="87.57"/>
  </r>
  <r>
    <x v="239"/>
    <x v="1"/>
    <x v="0"/>
    <d v="2012-03-12T00:00:00"/>
    <n v="4"/>
    <x v="1"/>
    <s v="Sylvia Foulston"/>
    <x v="1"/>
    <s v="United States"/>
    <s v="Dearborn"/>
    <s v="Michigan"/>
    <x v="2"/>
    <x v="1"/>
    <x v="9"/>
    <s v="Honeywell Enviracaire Portable HEPA Air Cleaner for up to 10 x 16 Room"/>
    <n v="555.21"/>
    <n v="5"/>
    <n v="0.1"/>
    <n v="178.9"/>
  </r>
  <r>
    <x v="239"/>
    <x v="1"/>
    <x v="0"/>
    <d v="2012-03-12T00:00:00"/>
    <n v="4"/>
    <x v="1"/>
    <s v="Sylvia Foulston"/>
    <x v="1"/>
    <s v="United States"/>
    <s v="Dearborn"/>
    <s v="Michigan"/>
    <x v="2"/>
    <x v="1"/>
    <x v="4"/>
    <s v="Mini 13-1/2 Capacity Data Binder Rack, Pearl"/>
    <n v="523.48"/>
    <n v="4"/>
    <n v="0"/>
    <n v="130.87"/>
  </r>
  <r>
    <x v="239"/>
    <x v="1"/>
    <x v="0"/>
    <d v="2012-03-12T00:00:00"/>
    <n v="4"/>
    <x v="1"/>
    <s v="Sylvia Foulston"/>
    <x v="1"/>
    <s v="United States"/>
    <s v="Dearborn"/>
    <s v="Michigan"/>
    <x v="2"/>
    <x v="1"/>
    <x v="6"/>
    <s v="BOSTON Model 1800 Electric Pencil Sharpeners, Putty/Woodgrain"/>
    <n v="161.82"/>
    <n v="9"/>
    <n v="0"/>
    <n v="46.93"/>
  </r>
  <r>
    <x v="175"/>
    <x v="3"/>
    <x v="8"/>
    <s v="20-09-2014"/>
    <n v="4"/>
    <x v="1"/>
    <s v="Meg O'Connel"/>
    <x v="2"/>
    <s v="United States"/>
    <s v="New York City"/>
    <s v="New York"/>
    <x v="3"/>
    <x v="0"/>
    <x v="5"/>
    <s v="Master Caster Door Stop, Brown"/>
    <n v="35.56"/>
    <n v="7"/>
    <n v="0"/>
    <n v="12.09"/>
  </r>
  <r>
    <x v="240"/>
    <x v="3"/>
    <x v="5"/>
    <s v="24-05-2014"/>
    <n v="4"/>
    <x v="1"/>
    <s v="Annie Thurman"/>
    <x v="0"/>
    <s v="United States"/>
    <s v="Seattle"/>
    <s v="Washington"/>
    <x v="1"/>
    <x v="1"/>
    <x v="9"/>
    <s v="Belkin Premiere Surge Master II 8-outlet surge protector"/>
    <n v="97.16"/>
    <n v="2"/>
    <n v="0"/>
    <n v="28.18"/>
  </r>
  <r>
    <x v="94"/>
    <x v="3"/>
    <x v="4"/>
    <s v="22-12-2014"/>
    <n v="4"/>
    <x v="1"/>
    <s v="Logan Currie"/>
    <x v="0"/>
    <s v="United States"/>
    <s v="San Francisco"/>
    <s v="California"/>
    <x v="1"/>
    <x v="1"/>
    <x v="8"/>
    <s v="Acco Pressboard Covers with Storage Hooks, 9 1/2&quot; x 11&quot;, Executive Red"/>
    <n v="15.24"/>
    <n v="5"/>
    <n v="0.2"/>
    <n v="5.14"/>
  </r>
  <r>
    <x v="94"/>
    <x v="3"/>
    <x v="4"/>
    <s v="22-12-2014"/>
    <n v="4"/>
    <x v="1"/>
    <s v="Logan Currie"/>
    <x v="0"/>
    <s v="United States"/>
    <s v="San Francisco"/>
    <s v="California"/>
    <x v="1"/>
    <x v="1"/>
    <x v="10"/>
    <s v="Ampad Gold Fibre Wirebound Steno Books, 6&quot; x 9&quot;, Gregg Ruled"/>
    <n v="13.23"/>
    <n v="3"/>
    <n v="0"/>
    <n v="6.09"/>
  </r>
  <r>
    <x v="25"/>
    <x v="0"/>
    <x v="4"/>
    <s v="14-12-2013"/>
    <n v="2"/>
    <x v="0"/>
    <s v="Fred McMath"/>
    <x v="0"/>
    <s v="United States"/>
    <s v="Aurora"/>
    <s v="Colorado"/>
    <x v="1"/>
    <x v="1"/>
    <x v="4"/>
    <s v="Tennsco Regal Shelving Units"/>
    <n v="243.38"/>
    <n v="3"/>
    <n v="0.2"/>
    <n v="-51.72"/>
  </r>
  <r>
    <x v="25"/>
    <x v="0"/>
    <x v="4"/>
    <s v="14-12-2013"/>
    <n v="2"/>
    <x v="0"/>
    <s v="Fred McMath"/>
    <x v="0"/>
    <s v="United States"/>
    <s v="Aurora"/>
    <s v="Colorado"/>
    <x v="1"/>
    <x v="2"/>
    <x v="11"/>
    <s v="Imation 32GB Pocket Pro USB 3.0 Flash Drive - 32 GB - Black - 1 P ..."/>
    <n v="119.8"/>
    <n v="5"/>
    <n v="0.2"/>
    <n v="29.95"/>
  </r>
  <r>
    <x v="25"/>
    <x v="0"/>
    <x v="4"/>
    <s v="14-12-2013"/>
    <n v="2"/>
    <x v="0"/>
    <s v="Fred McMath"/>
    <x v="0"/>
    <s v="United States"/>
    <s v="Aurora"/>
    <s v="Colorado"/>
    <x v="1"/>
    <x v="2"/>
    <x v="7"/>
    <s v="Jabra SPEAK 410"/>
    <n v="300.77"/>
    <n v="4"/>
    <n v="0.2"/>
    <n v="30.08"/>
  </r>
  <r>
    <x v="241"/>
    <x v="3"/>
    <x v="8"/>
    <s v="27-09-2014"/>
    <n v="2"/>
    <x v="0"/>
    <s v="Brian Dahlen"/>
    <x v="0"/>
    <s v="United States"/>
    <s v="Miami"/>
    <s v="Florida"/>
    <x v="0"/>
    <x v="2"/>
    <x v="11"/>
    <s v="Verbatim 25 GB 6x Blu-ray Single Layer Recordable Disc, 1/Pack"/>
    <n v="17.88"/>
    <n v="3"/>
    <n v="0.2"/>
    <n v="2.46"/>
  </r>
  <r>
    <x v="241"/>
    <x v="3"/>
    <x v="8"/>
    <s v="27-09-2014"/>
    <n v="2"/>
    <x v="0"/>
    <s v="Brian Dahlen"/>
    <x v="0"/>
    <s v="United States"/>
    <s v="Miami"/>
    <s v="Florida"/>
    <x v="0"/>
    <x v="1"/>
    <x v="2"/>
    <s v="Dot Matrix Printer Tape Reel Labels, White, 5000/Box"/>
    <n v="235.94"/>
    <n v="3"/>
    <n v="0.2"/>
    <n v="85.53"/>
  </r>
  <r>
    <x v="242"/>
    <x v="1"/>
    <x v="2"/>
    <d v="2012-09-10T00:00:00"/>
    <n v="5"/>
    <x v="0"/>
    <s v="Denny Joy"/>
    <x v="1"/>
    <s v="United States"/>
    <s v="Warner Robins"/>
    <s v="Georgia"/>
    <x v="0"/>
    <x v="0"/>
    <x v="1"/>
    <s v="Office Star - Mesh Screen back chair with Vinyl seat"/>
    <n v="392.94"/>
    <n v="3"/>
    <n v="0"/>
    <n v="43.22"/>
  </r>
  <r>
    <x v="243"/>
    <x v="0"/>
    <x v="6"/>
    <s v="22-08-2013"/>
    <n v="6"/>
    <x v="1"/>
    <s v="Max Engle"/>
    <x v="0"/>
    <s v="United States"/>
    <s v="Aurora"/>
    <s v="Colorado"/>
    <x v="1"/>
    <x v="1"/>
    <x v="8"/>
    <s v="Premium Transparent Presentation Covers by GBC"/>
    <n v="18.88"/>
    <n v="3"/>
    <n v="0.7"/>
    <n v="-13.85"/>
  </r>
  <r>
    <x v="243"/>
    <x v="0"/>
    <x v="6"/>
    <s v="22-08-2013"/>
    <n v="6"/>
    <x v="1"/>
    <s v="Max Engle"/>
    <x v="0"/>
    <s v="United States"/>
    <s v="Aurora"/>
    <s v="Colorado"/>
    <x v="1"/>
    <x v="1"/>
    <x v="9"/>
    <s v="Tripp Lite TLP810NET Broadband Surge for Modem/Fax"/>
    <n v="122.33"/>
    <n v="3"/>
    <n v="0.2"/>
    <n v="12.23"/>
  </r>
  <r>
    <x v="244"/>
    <x v="0"/>
    <x v="5"/>
    <s v="26-05-2013"/>
    <n v="5"/>
    <x v="1"/>
    <s v="Rick Bensley"/>
    <x v="2"/>
    <s v="United States"/>
    <s v="Vallejo"/>
    <s v="California"/>
    <x v="1"/>
    <x v="0"/>
    <x v="5"/>
    <s v="Luxo Professional Fluorescent Magnifier Lamp with Clamp-Mount Base"/>
    <n v="1049.2"/>
    <n v="5"/>
    <n v="0"/>
    <n v="272.79000000000002"/>
  </r>
  <r>
    <x v="244"/>
    <x v="0"/>
    <x v="5"/>
    <s v="26-05-2013"/>
    <n v="5"/>
    <x v="1"/>
    <s v="Rick Bensley"/>
    <x v="2"/>
    <s v="United States"/>
    <s v="Vallejo"/>
    <s v="California"/>
    <x v="1"/>
    <x v="1"/>
    <x v="8"/>
    <s v="Wilson Jones Turn Tabs Binder Tool for Ring Binders"/>
    <n v="15.42"/>
    <n v="4"/>
    <n v="0.2"/>
    <n v="5.01"/>
  </r>
  <r>
    <x v="122"/>
    <x v="0"/>
    <x v="4"/>
    <s v="23-12-2013"/>
    <n v="4"/>
    <x v="1"/>
    <s v="Justin Deggeller"/>
    <x v="1"/>
    <s v="United States"/>
    <s v="Minneapolis"/>
    <s v="Minnesota"/>
    <x v="2"/>
    <x v="0"/>
    <x v="5"/>
    <s v="Eldon 200 Class Desk Accessories"/>
    <n v="18.84"/>
    <n v="3"/>
    <n v="0"/>
    <n v="6.03"/>
  </r>
  <r>
    <x v="245"/>
    <x v="3"/>
    <x v="7"/>
    <d v="2014-04-08T00:00:00"/>
    <n v="4"/>
    <x v="0"/>
    <s v="John Lee"/>
    <x v="0"/>
    <s v="United States"/>
    <s v="Mission Viejo"/>
    <s v="California"/>
    <x v="1"/>
    <x v="1"/>
    <x v="4"/>
    <s v="Economy Rollaway Files"/>
    <n v="330.4"/>
    <n v="2"/>
    <n v="0"/>
    <n v="85.9"/>
  </r>
  <r>
    <x v="245"/>
    <x v="3"/>
    <x v="7"/>
    <d v="2014-04-08T00:00:00"/>
    <n v="4"/>
    <x v="0"/>
    <s v="John Lee"/>
    <x v="0"/>
    <s v="United States"/>
    <s v="Mission Viejo"/>
    <s v="California"/>
    <x v="1"/>
    <x v="1"/>
    <x v="2"/>
    <s v="Avery 480"/>
    <n v="26.25"/>
    <n v="7"/>
    <n v="0"/>
    <n v="12.6"/>
  </r>
  <r>
    <x v="193"/>
    <x v="3"/>
    <x v="1"/>
    <s v="16-06-2014"/>
    <n v="5"/>
    <x v="1"/>
    <s v="Sean Christensen"/>
    <x v="0"/>
    <s v="United States"/>
    <s v="Rochester Hills"/>
    <s v="Michigan"/>
    <x v="2"/>
    <x v="2"/>
    <x v="11"/>
    <s v="Imation 16GB Mini TravelDrive USB 2.0 Flash Drive"/>
    <n v="132.52000000000001"/>
    <n v="4"/>
    <n v="0"/>
    <n v="54.33"/>
  </r>
  <r>
    <x v="246"/>
    <x v="3"/>
    <x v="7"/>
    <s v="26-07-2014"/>
    <n v="4"/>
    <x v="1"/>
    <s v="Tamara Willingham"/>
    <x v="2"/>
    <s v="United States"/>
    <s v="Plainfield"/>
    <s v="New Jersey"/>
    <x v="3"/>
    <x v="1"/>
    <x v="10"/>
    <s v="Xerox 1993"/>
    <n v="6.48"/>
    <n v="1"/>
    <n v="0"/>
    <n v="3.18"/>
  </r>
  <r>
    <x v="247"/>
    <x v="3"/>
    <x v="4"/>
    <d v="2015-06-01T00:00:00"/>
    <n v="6"/>
    <x v="1"/>
    <s v="Chuck Clark"/>
    <x v="2"/>
    <s v="United States"/>
    <s v="Columbus"/>
    <s v="Indiana"/>
    <x v="2"/>
    <x v="1"/>
    <x v="9"/>
    <s v="Eureka The Boss Plus 12-Amp Hard Box Upright Vacuum, Red"/>
    <n v="209.3"/>
    <n v="2"/>
    <n v="0"/>
    <n v="56.51"/>
  </r>
  <r>
    <x v="178"/>
    <x v="0"/>
    <x v="3"/>
    <d v="2013-09-04T00:00:00"/>
    <n v="7"/>
    <x v="1"/>
    <s v="Barry Blumstein"/>
    <x v="1"/>
    <s v="United States"/>
    <s v="Sierra Vista"/>
    <s v="Arizona"/>
    <x v="1"/>
    <x v="1"/>
    <x v="13"/>
    <s v="Staples"/>
    <n v="31.56"/>
    <n v="5"/>
    <n v="0.2"/>
    <n v="9.86"/>
  </r>
  <r>
    <x v="178"/>
    <x v="0"/>
    <x v="3"/>
    <d v="2013-09-04T00:00:00"/>
    <n v="7"/>
    <x v="1"/>
    <s v="Barry Blumstein"/>
    <x v="1"/>
    <s v="United States"/>
    <s v="Sierra Vista"/>
    <s v="Arizona"/>
    <x v="1"/>
    <x v="1"/>
    <x v="9"/>
    <s v="Belkin F9H710-06 7 Outlet SurgeMaster Surge Protector"/>
    <n v="30.14"/>
    <n v="2"/>
    <n v="0.2"/>
    <n v="3.01"/>
  </r>
  <r>
    <x v="25"/>
    <x v="0"/>
    <x v="4"/>
    <s v="17-12-2013"/>
    <n v="5"/>
    <x v="0"/>
    <s v="Anthony Rawles"/>
    <x v="1"/>
    <s v="United States"/>
    <s v="Vancouver"/>
    <s v="Washington"/>
    <x v="1"/>
    <x v="0"/>
    <x v="5"/>
    <s v="3M Hangers With Command Adhesive"/>
    <n v="14.8"/>
    <n v="4"/>
    <n v="0"/>
    <n v="6.07"/>
  </r>
  <r>
    <x v="25"/>
    <x v="0"/>
    <x v="4"/>
    <s v="17-12-2013"/>
    <n v="5"/>
    <x v="0"/>
    <s v="Anthony Rawles"/>
    <x v="1"/>
    <s v="United States"/>
    <s v="Vancouver"/>
    <s v="Washington"/>
    <x v="1"/>
    <x v="2"/>
    <x v="7"/>
    <s v="AT&amp;T TR1909W"/>
    <n v="302.38"/>
    <n v="3"/>
    <n v="0.2"/>
    <n v="22.68"/>
  </r>
  <r>
    <x v="25"/>
    <x v="0"/>
    <x v="4"/>
    <s v="17-12-2013"/>
    <n v="5"/>
    <x v="0"/>
    <s v="Anthony Rawles"/>
    <x v="1"/>
    <s v="United States"/>
    <s v="Vancouver"/>
    <s v="Washington"/>
    <x v="1"/>
    <x v="2"/>
    <x v="11"/>
    <s v="First Data FD10 PIN Pad"/>
    <n v="316"/>
    <n v="4"/>
    <n v="0"/>
    <n v="31.6"/>
  </r>
  <r>
    <x v="248"/>
    <x v="0"/>
    <x v="2"/>
    <s v="30-10-2013"/>
    <n v="6"/>
    <x v="1"/>
    <s v="Steven Roelle"/>
    <x v="2"/>
    <s v="United States"/>
    <s v="New York City"/>
    <s v="New York"/>
    <x v="3"/>
    <x v="1"/>
    <x v="10"/>
    <s v="Snap-A-Way Black Print Carbonless Ruled Speed Letter, Triplicate"/>
    <n v="379.4"/>
    <n v="10"/>
    <n v="0"/>
    <n v="178.32"/>
  </r>
  <r>
    <x v="249"/>
    <x v="3"/>
    <x v="1"/>
    <s v="24-06-2014"/>
    <n v="4"/>
    <x v="1"/>
    <s v="Allen Rosenblatt"/>
    <x v="1"/>
    <s v="United States"/>
    <s v="New York City"/>
    <s v="New York"/>
    <x v="3"/>
    <x v="1"/>
    <x v="10"/>
    <s v="Xerox 1943"/>
    <n v="97.82"/>
    <n v="2"/>
    <n v="0"/>
    <n v="45.98"/>
  </r>
  <r>
    <x v="249"/>
    <x v="3"/>
    <x v="1"/>
    <s v="24-06-2014"/>
    <n v="4"/>
    <x v="1"/>
    <s v="Allen Rosenblatt"/>
    <x v="1"/>
    <s v="United States"/>
    <s v="New York City"/>
    <s v="New York"/>
    <x v="3"/>
    <x v="2"/>
    <x v="11"/>
    <s v="Sony 16GB Class 10 Micro SDHC R40 Memory Card"/>
    <n v="103.12"/>
    <n v="8"/>
    <n v="0"/>
    <n v="10.31"/>
  </r>
  <r>
    <x v="250"/>
    <x v="0"/>
    <x v="6"/>
    <s v="29-08-2013"/>
    <n v="6"/>
    <x v="1"/>
    <s v="Craig Reiter"/>
    <x v="0"/>
    <s v="United States"/>
    <s v="Columbus"/>
    <s v="Ohio"/>
    <x v="3"/>
    <x v="1"/>
    <x v="9"/>
    <s v="Tripp Lite Isotel 8 Ultra 8 Outlet Metal Surge"/>
    <n v="113.55"/>
    <n v="2"/>
    <n v="0.2"/>
    <n v="8.52"/>
  </r>
  <r>
    <x v="250"/>
    <x v="0"/>
    <x v="6"/>
    <s v="29-08-2013"/>
    <n v="6"/>
    <x v="1"/>
    <s v="Craig Reiter"/>
    <x v="0"/>
    <s v="United States"/>
    <s v="Columbus"/>
    <s v="Ohio"/>
    <x v="3"/>
    <x v="1"/>
    <x v="8"/>
    <s v="Avery Durable Poly Binders"/>
    <n v="3.32"/>
    <n v="2"/>
    <n v="0.7"/>
    <n v="-2.65"/>
  </r>
  <r>
    <x v="250"/>
    <x v="0"/>
    <x v="6"/>
    <s v="29-08-2013"/>
    <n v="6"/>
    <x v="1"/>
    <s v="Craig Reiter"/>
    <x v="0"/>
    <s v="United States"/>
    <s v="Columbus"/>
    <s v="Ohio"/>
    <x v="3"/>
    <x v="1"/>
    <x v="12"/>
    <s v="Airmail Envelopes"/>
    <n v="134.29"/>
    <n v="2"/>
    <n v="0.2"/>
    <n v="45.32"/>
  </r>
  <r>
    <x v="251"/>
    <x v="0"/>
    <x v="8"/>
    <s v="20-09-2013"/>
    <n v="0"/>
    <x v="3"/>
    <s v="Eugene Hildebrand"/>
    <x v="2"/>
    <s v="United States"/>
    <s v="Aurora"/>
    <s v="Illinois"/>
    <x v="2"/>
    <x v="0"/>
    <x v="1"/>
    <s v="Global Troy Executive Leather Low-Back Tilter"/>
    <n v="701.37"/>
    <n v="2"/>
    <n v="0.3"/>
    <n v="-50.1"/>
  </r>
  <r>
    <x v="251"/>
    <x v="0"/>
    <x v="8"/>
    <s v="20-09-2013"/>
    <n v="0"/>
    <x v="3"/>
    <s v="Eugene Hildebrand"/>
    <x v="2"/>
    <s v="United States"/>
    <s v="Aurora"/>
    <s v="Illinois"/>
    <x v="2"/>
    <x v="1"/>
    <x v="8"/>
    <s v="Avery Binding System Hidden Tab Executive Style Index Sets"/>
    <n v="2.31"/>
    <n v="2"/>
    <n v="0.8"/>
    <n v="-3.46"/>
  </r>
  <r>
    <x v="252"/>
    <x v="1"/>
    <x v="6"/>
    <s v="28-08-2012"/>
    <n v="4"/>
    <x v="1"/>
    <s v="Cassandra Brandow"/>
    <x v="0"/>
    <s v="United States"/>
    <s v="Arlington"/>
    <s v="Texas"/>
    <x v="2"/>
    <x v="1"/>
    <x v="4"/>
    <s v="Hot File 7-Pocket, Floor Stand"/>
    <n v="999.43"/>
    <n v="7"/>
    <n v="0.2"/>
    <n v="124.93"/>
  </r>
  <r>
    <x v="252"/>
    <x v="1"/>
    <x v="6"/>
    <s v="28-08-2012"/>
    <n v="4"/>
    <x v="1"/>
    <s v="Cassandra Brandow"/>
    <x v="0"/>
    <s v="United States"/>
    <s v="Arlington"/>
    <s v="Texas"/>
    <x v="2"/>
    <x v="1"/>
    <x v="4"/>
    <s v="Space Solutions Commercial Steel Shelving"/>
    <n v="724.08"/>
    <n v="14"/>
    <n v="0.2"/>
    <n v="-135.77000000000001"/>
  </r>
  <r>
    <x v="252"/>
    <x v="1"/>
    <x v="6"/>
    <s v="28-08-2012"/>
    <n v="4"/>
    <x v="1"/>
    <s v="Cassandra Brandow"/>
    <x v="0"/>
    <s v="United States"/>
    <s v="Arlington"/>
    <s v="Texas"/>
    <x v="2"/>
    <x v="0"/>
    <x v="3"/>
    <s v="Hon Racetrack Conference Tables"/>
    <n v="918.79"/>
    <n v="5"/>
    <n v="0.3"/>
    <n v="-118.13"/>
  </r>
  <r>
    <x v="252"/>
    <x v="1"/>
    <x v="6"/>
    <s v="28-08-2012"/>
    <n v="4"/>
    <x v="1"/>
    <s v="Cassandra Brandow"/>
    <x v="0"/>
    <s v="United States"/>
    <s v="Arlington"/>
    <s v="Texas"/>
    <x v="2"/>
    <x v="1"/>
    <x v="8"/>
    <s v="Avery Durable Plastic 1&quot; Binders"/>
    <n v="2.72"/>
    <n v="3"/>
    <n v="0.8"/>
    <n v="-4.22"/>
  </r>
  <r>
    <x v="253"/>
    <x v="0"/>
    <x v="10"/>
    <s v="31-03-2013"/>
    <n v="4"/>
    <x v="1"/>
    <s v="Sibella Parks"/>
    <x v="1"/>
    <s v="United States"/>
    <s v="New York City"/>
    <s v="New York"/>
    <x v="3"/>
    <x v="1"/>
    <x v="4"/>
    <s v="Gould Plastics 18-Pocket Panel Bin, 34w x 5-1/4d x 20-1/2h"/>
    <n v="459.95"/>
    <n v="5"/>
    <n v="0"/>
    <n v="18.399999999999999"/>
  </r>
  <r>
    <x v="254"/>
    <x v="0"/>
    <x v="0"/>
    <d v="2013-05-11T00:00:00"/>
    <n v="0"/>
    <x v="3"/>
    <s v="Roy Collins"/>
    <x v="0"/>
    <s v="United States"/>
    <s v="Louisville"/>
    <s v="Kentucky"/>
    <x v="0"/>
    <x v="1"/>
    <x v="13"/>
    <s v="OIC Colored Binder Clips, Assorted Sizes"/>
    <n v="10.74"/>
    <n v="3"/>
    <n v="0"/>
    <n v="5.26"/>
  </r>
  <r>
    <x v="110"/>
    <x v="3"/>
    <x v="1"/>
    <d v="2014-11-06T00:00:00"/>
    <n v="2"/>
    <x v="0"/>
    <s v="Tiffany House"/>
    <x v="1"/>
    <s v="United States"/>
    <s v="Dallas"/>
    <s v="Texas"/>
    <x v="2"/>
    <x v="1"/>
    <x v="14"/>
    <s v="Acme Tagit Stainless Steel Antibacterial Scissors"/>
    <n v="23.76"/>
    <n v="3"/>
    <n v="0.2"/>
    <n v="2.08"/>
  </r>
  <r>
    <x v="110"/>
    <x v="3"/>
    <x v="1"/>
    <d v="2014-11-06T00:00:00"/>
    <n v="2"/>
    <x v="0"/>
    <s v="Tiffany House"/>
    <x v="1"/>
    <s v="United States"/>
    <s v="Dallas"/>
    <s v="Texas"/>
    <x v="2"/>
    <x v="1"/>
    <x v="10"/>
    <s v="Staples"/>
    <n v="85.06"/>
    <n v="3"/>
    <n v="0.2"/>
    <n v="28.71"/>
  </r>
  <r>
    <x v="110"/>
    <x v="3"/>
    <x v="1"/>
    <d v="2014-11-06T00:00:00"/>
    <n v="2"/>
    <x v="0"/>
    <s v="Tiffany House"/>
    <x v="1"/>
    <s v="United States"/>
    <s v="Dallas"/>
    <s v="Texas"/>
    <x v="2"/>
    <x v="2"/>
    <x v="7"/>
    <s v="ClearOne Communications CHAT 70 OC Speaker Phone"/>
    <n v="381.58"/>
    <n v="3"/>
    <n v="0.2"/>
    <n v="28.62"/>
  </r>
  <r>
    <x v="163"/>
    <x v="2"/>
    <x v="4"/>
    <s v="26-12-2011"/>
    <n v="2"/>
    <x v="2"/>
    <s v="Resi Pölking"/>
    <x v="0"/>
    <s v="United States"/>
    <s v="Cleveland"/>
    <s v="Ohio"/>
    <x v="3"/>
    <x v="0"/>
    <x v="5"/>
    <s v="Master Giant Foot Doorstop, Safety Yellow"/>
    <n v="30.36"/>
    <n v="5"/>
    <n v="0.2"/>
    <n v="8.73"/>
  </r>
  <r>
    <x v="255"/>
    <x v="3"/>
    <x v="1"/>
    <s v="14-06-2014"/>
    <n v="4"/>
    <x v="1"/>
    <s v="Meg O'Connel"/>
    <x v="2"/>
    <s v="United States"/>
    <s v="Chicago"/>
    <s v="Illinois"/>
    <x v="2"/>
    <x v="0"/>
    <x v="5"/>
    <s v="12-1/2 Diameter Round Wall Clock"/>
    <n v="23.98"/>
    <n v="3"/>
    <n v="0.6"/>
    <n v="-14.39"/>
  </r>
  <r>
    <x v="255"/>
    <x v="3"/>
    <x v="1"/>
    <s v="14-06-2014"/>
    <n v="4"/>
    <x v="1"/>
    <s v="Meg O'Connel"/>
    <x v="2"/>
    <s v="United States"/>
    <s v="Chicago"/>
    <s v="Illinois"/>
    <x v="2"/>
    <x v="0"/>
    <x v="3"/>
    <s v="Chromcraft Bull-Nose Wood Round Conference Table Top, Wood Base"/>
    <n v="108.93"/>
    <n v="1"/>
    <n v="0.5"/>
    <n v="-71.89"/>
  </r>
  <r>
    <x v="255"/>
    <x v="3"/>
    <x v="1"/>
    <s v="14-06-2014"/>
    <n v="4"/>
    <x v="1"/>
    <s v="Meg O'Connel"/>
    <x v="2"/>
    <s v="United States"/>
    <s v="Chicago"/>
    <s v="Illinois"/>
    <x v="2"/>
    <x v="1"/>
    <x v="10"/>
    <s v="Adams Telephone Message Book W/Dividers/Space For Phone Numbers, 5 1/4&quot;X8 1/2&quot;, 200/Messages"/>
    <n v="36.35"/>
    <n v="8"/>
    <n v="0.2"/>
    <n v="11.36"/>
  </r>
  <r>
    <x v="140"/>
    <x v="3"/>
    <x v="1"/>
    <s v="23-06-2014"/>
    <n v="7"/>
    <x v="1"/>
    <s v="Tamara Dahlen"/>
    <x v="0"/>
    <s v="United States"/>
    <s v="Quincy"/>
    <s v="Illinois"/>
    <x v="2"/>
    <x v="1"/>
    <x v="6"/>
    <s v="Newell 331"/>
    <n v="19.559999999999999"/>
    <n v="5"/>
    <n v="0.2"/>
    <n v="1.71"/>
  </r>
  <r>
    <x v="256"/>
    <x v="3"/>
    <x v="4"/>
    <d v="2014-09-12T00:00:00"/>
    <n v="3"/>
    <x v="2"/>
    <s v="Rob Beeghly"/>
    <x v="0"/>
    <s v="United States"/>
    <s v="Columbus"/>
    <s v="Indiana"/>
    <x v="2"/>
    <x v="1"/>
    <x v="9"/>
    <s v="Kensington 6 Outlet Guardian Standard Surge Protector"/>
    <n v="61.44"/>
    <n v="3"/>
    <n v="0"/>
    <n v="16.59"/>
  </r>
  <r>
    <x v="256"/>
    <x v="3"/>
    <x v="4"/>
    <d v="2014-09-12T00:00:00"/>
    <n v="3"/>
    <x v="2"/>
    <s v="Rob Beeghly"/>
    <x v="0"/>
    <s v="United States"/>
    <s v="Columbus"/>
    <s v="Indiana"/>
    <x v="2"/>
    <x v="1"/>
    <x v="10"/>
    <s v="Southworth 100% Résumé Paper, 24lb."/>
    <n v="38.9"/>
    <n v="5"/>
    <n v="0"/>
    <n v="17.510000000000002"/>
  </r>
  <r>
    <x v="256"/>
    <x v="3"/>
    <x v="4"/>
    <d v="2014-09-12T00:00:00"/>
    <n v="3"/>
    <x v="2"/>
    <s v="Rob Beeghly"/>
    <x v="0"/>
    <s v="United States"/>
    <s v="Columbus"/>
    <s v="Indiana"/>
    <x v="2"/>
    <x v="2"/>
    <x v="11"/>
    <s v="Imation 16GB Mini TravelDrive USB 2.0 Flash Drive"/>
    <n v="99.39"/>
    <n v="3"/>
    <n v="0"/>
    <n v="40.75"/>
  </r>
  <r>
    <x v="257"/>
    <x v="3"/>
    <x v="10"/>
    <s v="24-03-2014"/>
    <n v="5"/>
    <x v="1"/>
    <s v="Carol Darley"/>
    <x v="0"/>
    <s v="United States"/>
    <s v="Tyler"/>
    <s v="Texas"/>
    <x v="2"/>
    <x v="1"/>
    <x v="9"/>
    <s v="Hoover Portapower Portable Vacuum"/>
    <n v="2.69"/>
    <n v="3"/>
    <n v="0.8"/>
    <n v="-7.39"/>
  </r>
  <r>
    <x v="257"/>
    <x v="3"/>
    <x v="10"/>
    <s v="24-03-2014"/>
    <n v="5"/>
    <x v="1"/>
    <s v="Carol Darley"/>
    <x v="0"/>
    <s v="United States"/>
    <s v="Tyler"/>
    <s v="Texas"/>
    <x v="2"/>
    <x v="2"/>
    <x v="11"/>
    <s v="Verbatim 25 GB 6x Blu-ray Single Layer Recordable Disc, 10/Pack"/>
    <n v="27.82"/>
    <n v="3"/>
    <n v="0.2"/>
    <n v="4.5199999999999996"/>
  </r>
  <r>
    <x v="257"/>
    <x v="3"/>
    <x v="10"/>
    <s v="24-03-2014"/>
    <n v="5"/>
    <x v="1"/>
    <s v="Carol Darley"/>
    <x v="0"/>
    <s v="United States"/>
    <s v="Tyler"/>
    <s v="Texas"/>
    <x v="2"/>
    <x v="0"/>
    <x v="5"/>
    <s v="Howard Miller 13-1/2&quot; Diameter Rosebrook Wall Clock"/>
    <n v="82.52"/>
    <n v="3"/>
    <n v="0.6"/>
    <n v="-41.26"/>
  </r>
  <r>
    <x v="257"/>
    <x v="3"/>
    <x v="10"/>
    <s v="24-03-2014"/>
    <n v="5"/>
    <x v="1"/>
    <s v="Carol Darley"/>
    <x v="0"/>
    <s v="United States"/>
    <s v="Tyler"/>
    <s v="Texas"/>
    <x v="2"/>
    <x v="1"/>
    <x v="8"/>
    <s v="Ibico Hi-Tech Manual Binding System"/>
    <n v="182.99"/>
    <n v="3"/>
    <n v="0.8"/>
    <n v="-320.24"/>
  </r>
  <r>
    <x v="258"/>
    <x v="0"/>
    <x v="0"/>
    <s v="25-11-2013"/>
    <n v="5"/>
    <x v="1"/>
    <s v="Doug Jacobs"/>
    <x v="0"/>
    <s v="United States"/>
    <s v="New York City"/>
    <s v="New York"/>
    <x v="3"/>
    <x v="1"/>
    <x v="8"/>
    <s v="Avery Hanging File Binders"/>
    <n v="14.35"/>
    <n v="3"/>
    <n v="0.2"/>
    <n v="4.66"/>
  </r>
  <r>
    <x v="258"/>
    <x v="0"/>
    <x v="0"/>
    <s v="25-11-2013"/>
    <n v="5"/>
    <x v="1"/>
    <s v="Doug Jacobs"/>
    <x v="0"/>
    <s v="United States"/>
    <s v="New York City"/>
    <s v="New York"/>
    <x v="3"/>
    <x v="1"/>
    <x v="4"/>
    <s v="Fellowes Neat Ideas Storage Cubes"/>
    <n v="64.959999999999994"/>
    <n v="2"/>
    <n v="0"/>
    <n v="2.6"/>
  </r>
  <r>
    <x v="258"/>
    <x v="0"/>
    <x v="0"/>
    <s v="25-11-2013"/>
    <n v="5"/>
    <x v="1"/>
    <s v="Doug Jacobs"/>
    <x v="0"/>
    <s v="United States"/>
    <s v="New York City"/>
    <s v="New York"/>
    <x v="3"/>
    <x v="1"/>
    <x v="4"/>
    <s v="Advantus Rolling Storage Box"/>
    <n v="68.599999999999994"/>
    <n v="4"/>
    <n v="0"/>
    <n v="18.52"/>
  </r>
  <r>
    <x v="259"/>
    <x v="3"/>
    <x v="0"/>
    <d v="2014-05-11T00:00:00"/>
    <n v="0"/>
    <x v="3"/>
    <s v="Grant Thornton"/>
    <x v="1"/>
    <s v="United States"/>
    <s v="Burlington"/>
    <s v="North Carolina"/>
    <x v="0"/>
    <x v="2"/>
    <x v="15"/>
    <s v="Cubify CubeX 3D Printer Triple Head Print"/>
    <n v="7999.98"/>
    <n v="4"/>
    <n v="0.5"/>
    <n v="-3839.99"/>
  </r>
  <r>
    <x v="259"/>
    <x v="3"/>
    <x v="0"/>
    <d v="2014-05-11T00:00:00"/>
    <n v="0"/>
    <x v="3"/>
    <s v="Grant Thornton"/>
    <x v="1"/>
    <s v="United States"/>
    <s v="Burlington"/>
    <s v="North Carolina"/>
    <x v="0"/>
    <x v="1"/>
    <x v="9"/>
    <s v="Eureka The Boss Plus 12-Amp Hard Box Upright Vacuum, Red"/>
    <n v="167.44"/>
    <n v="2"/>
    <n v="0.2"/>
    <n v="14.65"/>
  </r>
  <r>
    <x v="260"/>
    <x v="2"/>
    <x v="7"/>
    <d v="2011-08-07T00:00:00"/>
    <n v="3"/>
    <x v="2"/>
    <s v="Michael Chen"/>
    <x v="0"/>
    <s v="United States"/>
    <s v="Jackson"/>
    <s v="Mississippi"/>
    <x v="0"/>
    <x v="2"/>
    <x v="11"/>
    <s v="NETGEAR AC1750 Dual Band Gigabit Smart WiFi Router"/>
    <n v="479.97"/>
    <n v="3"/>
    <n v="0"/>
    <n v="163.19"/>
  </r>
  <r>
    <x v="260"/>
    <x v="2"/>
    <x v="7"/>
    <d v="2011-08-07T00:00:00"/>
    <n v="3"/>
    <x v="2"/>
    <s v="Michael Chen"/>
    <x v="0"/>
    <s v="United States"/>
    <s v="Jackson"/>
    <s v="Mississippi"/>
    <x v="0"/>
    <x v="1"/>
    <x v="2"/>
    <s v="Avery 516"/>
    <n v="14.62"/>
    <n v="2"/>
    <n v="0"/>
    <n v="6.87"/>
  </r>
  <r>
    <x v="260"/>
    <x v="2"/>
    <x v="7"/>
    <d v="2011-08-07T00:00:00"/>
    <n v="3"/>
    <x v="2"/>
    <s v="Michael Chen"/>
    <x v="0"/>
    <s v="United States"/>
    <s v="Jackson"/>
    <s v="Mississippi"/>
    <x v="0"/>
    <x v="1"/>
    <x v="10"/>
    <s v="Xerox 1995"/>
    <n v="19.440000000000001"/>
    <n v="3"/>
    <n v="0"/>
    <n v="9.33"/>
  </r>
  <r>
    <x v="53"/>
    <x v="3"/>
    <x v="4"/>
    <s v="30-12-2014"/>
    <n v="4"/>
    <x v="1"/>
    <s v="Ralph Arnett"/>
    <x v="0"/>
    <s v="United States"/>
    <s v="New York City"/>
    <s v="New York"/>
    <x v="3"/>
    <x v="0"/>
    <x v="0"/>
    <s v="Bush Andora Bookcase, Maple/Graphite Gray Finish"/>
    <n v="191.98"/>
    <n v="2"/>
    <n v="0.2"/>
    <n v="4.8"/>
  </r>
  <r>
    <x v="261"/>
    <x v="2"/>
    <x v="1"/>
    <s v="23-06-2011"/>
    <n v="2"/>
    <x v="0"/>
    <s v="Naresj Patel"/>
    <x v="0"/>
    <s v="United States"/>
    <s v="Waynesboro"/>
    <s v="Virginia"/>
    <x v="0"/>
    <x v="0"/>
    <x v="5"/>
    <s v="Luxo Professional Magnifying Clamp-On Fluorescent Lamps"/>
    <n v="104.01"/>
    <n v="1"/>
    <n v="0"/>
    <n v="14.56"/>
  </r>
  <r>
    <x v="261"/>
    <x v="2"/>
    <x v="1"/>
    <s v="23-06-2011"/>
    <n v="2"/>
    <x v="0"/>
    <s v="Naresj Patel"/>
    <x v="0"/>
    <s v="United States"/>
    <s v="Waynesboro"/>
    <s v="Virginia"/>
    <x v="0"/>
    <x v="2"/>
    <x v="7"/>
    <s v="Konftel 250 Conference phone - Charcoal black"/>
    <n v="284.82"/>
    <n v="1"/>
    <n v="0"/>
    <n v="74.05"/>
  </r>
  <r>
    <x v="261"/>
    <x v="2"/>
    <x v="1"/>
    <s v="23-06-2011"/>
    <n v="2"/>
    <x v="0"/>
    <s v="Naresj Patel"/>
    <x v="0"/>
    <s v="United States"/>
    <s v="Waynesboro"/>
    <s v="Virginia"/>
    <x v="0"/>
    <x v="1"/>
    <x v="4"/>
    <s v="Recycled Eldon Regeneration Jumbo File"/>
    <n v="36.840000000000003"/>
    <n v="3"/>
    <n v="0"/>
    <n v="10.32"/>
  </r>
  <r>
    <x v="262"/>
    <x v="1"/>
    <x v="10"/>
    <d v="2012-02-04T00:00:00"/>
    <n v="5"/>
    <x v="1"/>
    <s v="Alan Barnes"/>
    <x v="0"/>
    <s v="United States"/>
    <s v="Los Angeles"/>
    <s v="California"/>
    <x v="1"/>
    <x v="2"/>
    <x v="11"/>
    <s v="Imation Bio 8GB USB Flash Drive Imation Corp"/>
    <n v="166.24"/>
    <n v="1"/>
    <n v="0"/>
    <n v="24.94"/>
  </r>
  <r>
    <x v="262"/>
    <x v="1"/>
    <x v="10"/>
    <d v="2012-02-04T00:00:00"/>
    <n v="5"/>
    <x v="1"/>
    <s v="Alan Barnes"/>
    <x v="0"/>
    <s v="United States"/>
    <s v="Los Angeles"/>
    <s v="California"/>
    <x v="1"/>
    <x v="1"/>
    <x v="10"/>
    <s v="Xerox 1977"/>
    <n v="33.4"/>
    <n v="5"/>
    <n v="0"/>
    <n v="16.03"/>
  </r>
  <r>
    <x v="263"/>
    <x v="1"/>
    <x v="5"/>
    <s v="17-05-2012"/>
    <n v="3"/>
    <x v="2"/>
    <s v="Jesus Ocampo"/>
    <x v="2"/>
    <s v="United States"/>
    <s v="Chester"/>
    <s v="Pennsylvania"/>
    <x v="3"/>
    <x v="1"/>
    <x v="6"/>
    <s v="Boston School Pro Electric Pencil Sharpener, 1670"/>
    <n v="198.27"/>
    <n v="8"/>
    <n v="0.2"/>
    <n v="17.350000000000001"/>
  </r>
  <r>
    <x v="263"/>
    <x v="1"/>
    <x v="5"/>
    <s v="17-05-2012"/>
    <n v="3"/>
    <x v="2"/>
    <s v="Jesus Ocampo"/>
    <x v="2"/>
    <s v="United States"/>
    <s v="Chester"/>
    <s v="Pennsylvania"/>
    <x v="3"/>
    <x v="1"/>
    <x v="2"/>
    <s v="Avery 490"/>
    <n v="47.36"/>
    <n v="4"/>
    <n v="0.2"/>
    <n v="17.760000000000002"/>
  </r>
  <r>
    <x v="263"/>
    <x v="1"/>
    <x v="5"/>
    <s v="17-05-2012"/>
    <n v="3"/>
    <x v="2"/>
    <s v="Jesus Ocampo"/>
    <x v="2"/>
    <s v="United States"/>
    <s v="Chester"/>
    <s v="Pennsylvania"/>
    <x v="3"/>
    <x v="1"/>
    <x v="12"/>
    <s v="Jet-Pak Recycled Peel 'N' Seal Padded Mailers"/>
    <n v="200.98"/>
    <n v="7"/>
    <n v="0.2"/>
    <n v="62.81"/>
  </r>
  <r>
    <x v="263"/>
    <x v="1"/>
    <x v="5"/>
    <s v="17-05-2012"/>
    <n v="3"/>
    <x v="2"/>
    <s v="Jesus Ocampo"/>
    <x v="2"/>
    <s v="United States"/>
    <s v="Chester"/>
    <s v="Pennsylvania"/>
    <x v="3"/>
    <x v="1"/>
    <x v="2"/>
    <s v="Avery 4027 File Folder Labels for Dot Matrix Printers, 5000 Labels per Box, White"/>
    <n v="97.7"/>
    <n v="4"/>
    <n v="0.2"/>
    <n v="31.75"/>
  </r>
  <r>
    <x v="263"/>
    <x v="1"/>
    <x v="5"/>
    <s v="17-05-2012"/>
    <n v="3"/>
    <x v="2"/>
    <s v="Jesus Ocampo"/>
    <x v="2"/>
    <s v="United States"/>
    <s v="Chester"/>
    <s v="Pennsylvania"/>
    <x v="3"/>
    <x v="1"/>
    <x v="6"/>
    <s v="Binney &amp; Smith Crayola Metallic Crayons, 16-Color Pack"/>
    <n v="2.7"/>
    <n v="1"/>
    <n v="0.2"/>
    <n v="0.81"/>
  </r>
  <r>
    <x v="263"/>
    <x v="1"/>
    <x v="5"/>
    <s v="17-05-2012"/>
    <n v="3"/>
    <x v="2"/>
    <s v="Jesus Ocampo"/>
    <x v="2"/>
    <s v="United States"/>
    <s v="Chester"/>
    <s v="Pennsylvania"/>
    <x v="3"/>
    <x v="1"/>
    <x v="8"/>
    <s v="GBC Linen Binding Covers"/>
    <n v="18.59"/>
    <n v="2"/>
    <n v="0.7"/>
    <n v="-13.63"/>
  </r>
  <r>
    <x v="263"/>
    <x v="1"/>
    <x v="5"/>
    <s v="17-05-2012"/>
    <n v="3"/>
    <x v="2"/>
    <s v="Jesus Ocampo"/>
    <x v="2"/>
    <s v="United States"/>
    <s v="Chester"/>
    <s v="Pennsylvania"/>
    <x v="3"/>
    <x v="1"/>
    <x v="8"/>
    <s v="Wilson Jones Custom Binder Spines &amp; Labels"/>
    <n v="4.9000000000000004"/>
    <n v="3"/>
    <n v="0.7"/>
    <n v="-3.43"/>
  </r>
  <r>
    <x v="264"/>
    <x v="3"/>
    <x v="8"/>
    <d v="2014-09-09T00:00:00"/>
    <n v="6"/>
    <x v="1"/>
    <s v="Dorris liebe"/>
    <x v="1"/>
    <s v="United States"/>
    <s v="Cleveland"/>
    <s v="Ohio"/>
    <x v="3"/>
    <x v="0"/>
    <x v="5"/>
    <s v="Eldon 200 Class Desk Accessories, Burgundy"/>
    <n v="15.07"/>
    <n v="3"/>
    <n v="0.2"/>
    <n v="4.1399999999999997"/>
  </r>
  <r>
    <x v="254"/>
    <x v="0"/>
    <x v="0"/>
    <d v="2013-09-11T00:00:00"/>
    <n v="4"/>
    <x v="0"/>
    <s v="Alejandro Savely"/>
    <x v="1"/>
    <s v="United States"/>
    <s v="Seattle"/>
    <s v="Washington"/>
    <x v="1"/>
    <x v="0"/>
    <x v="5"/>
    <s v="Tenex &quot;The Solids&quot; Textured Chair Mats"/>
    <n v="209.88"/>
    <n v="3"/>
    <n v="0"/>
    <n v="35.68"/>
  </r>
  <r>
    <x v="265"/>
    <x v="1"/>
    <x v="3"/>
    <s v="14-04-2012"/>
    <n v="5"/>
    <x v="1"/>
    <s v="Jay Kimmel"/>
    <x v="0"/>
    <s v="United States"/>
    <s v="Long Beach"/>
    <s v="California"/>
    <x v="1"/>
    <x v="0"/>
    <x v="3"/>
    <s v="Laminate Occasional Tables"/>
    <n v="369.91"/>
    <n v="3"/>
    <n v="0.2"/>
    <n v="-13.87"/>
  </r>
  <r>
    <x v="171"/>
    <x v="2"/>
    <x v="8"/>
    <s v="17-09-2011"/>
    <n v="5"/>
    <x v="1"/>
    <s v="Brad Norvell"/>
    <x v="1"/>
    <s v="United States"/>
    <s v="Cary"/>
    <s v="North Carolina"/>
    <x v="0"/>
    <x v="1"/>
    <x v="10"/>
    <s v="Xerox 220"/>
    <n v="10.37"/>
    <n v="2"/>
    <n v="0.2"/>
    <n v="3.63"/>
  </r>
  <r>
    <x v="171"/>
    <x v="2"/>
    <x v="8"/>
    <s v="17-09-2011"/>
    <n v="5"/>
    <x v="1"/>
    <s v="Brad Norvell"/>
    <x v="1"/>
    <s v="United States"/>
    <s v="Cary"/>
    <s v="North Carolina"/>
    <x v="0"/>
    <x v="1"/>
    <x v="9"/>
    <s v="Fellowes 8 Outlet Superior Workstation Surge Protector"/>
    <n v="166.84"/>
    <n v="5"/>
    <n v="0.2"/>
    <n v="18.77"/>
  </r>
  <r>
    <x v="171"/>
    <x v="2"/>
    <x v="8"/>
    <s v="17-09-2011"/>
    <n v="5"/>
    <x v="1"/>
    <s v="Brad Norvell"/>
    <x v="1"/>
    <s v="United States"/>
    <s v="Cary"/>
    <s v="North Carolina"/>
    <x v="0"/>
    <x v="2"/>
    <x v="11"/>
    <s v="SanDisk Cruzer 32 GB USB Flash Drive"/>
    <n v="15.22"/>
    <n v="1"/>
    <n v="0.2"/>
    <n v="2.2799999999999998"/>
  </r>
  <r>
    <x v="266"/>
    <x v="2"/>
    <x v="4"/>
    <d v="2011-04-12T00:00:00"/>
    <n v="2"/>
    <x v="2"/>
    <s v="David Philippe"/>
    <x v="0"/>
    <s v="United States"/>
    <s v="New York City"/>
    <s v="New York"/>
    <x v="3"/>
    <x v="2"/>
    <x v="11"/>
    <s v="Logitech 910-002974 M325 Wireless Mouse for Web Scrolling"/>
    <n v="119.96"/>
    <n v="4"/>
    <n v="0"/>
    <n v="52.78"/>
  </r>
  <r>
    <x v="266"/>
    <x v="2"/>
    <x v="4"/>
    <d v="2011-04-12T00:00:00"/>
    <n v="2"/>
    <x v="2"/>
    <s v="David Philippe"/>
    <x v="0"/>
    <s v="United States"/>
    <s v="New York City"/>
    <s v="New York"/>
    <x v="3"/>
    <x v="0"/>
    <x v="0"/>
    <s v="O'Sullivan Living Dimensions 5-Shelf Bookcases"/>
    <n v="883.92"/>
    <n v="5"/>
    <n v="0.2"/>
    <n v="-110.49"/>
  </r>
  <r>
    <x v="266"/>
    <x v="2"/>
    <x v="4"/>
    <d v="2011-04-12T00:00:00"/>
    <n v="2"/>
    <x v="2"/>
    <s v="David Philippe"/>
    <x v="0"/>
    <s v="United States"/>
    <s v="New York City"/>
    <s v="New York"/>
    <x v="3"/>
    <x v="1"/>
    <x v="8"/>
    <s v="Angle-D Binders with Locking Rings, Label Holders"/>
    <n v="46.72"/>
    <n v="8"/>
    <n v="0.2"/>
    <n v="15.77"/>
  </r>
  <r>
    <x v="267"/>
    <x v="2"/>
    <x v="3"/>
    <d v="2011-07-04T00:00:00"/>
    <n v="2"/>
    <x v="2"/>
    <s v="Tracy Hopkins"/>
    <x v="2"/>
    <s v="United States"/>
    <s v="New York City"/>
    <s v="New York"/>
    <x v="3"/>
    <x v="1"/>
    <x v="10"/>
    <s v="Eaton Premium Continuous-Feed Paper, 25% Cotton, Letter Size, White, 1000 Shts/Box"/>
    <n v="55.48"/>
    <n v="1"/>
    <n v="0"/>
    <n v="26.63"/>
  </r>
  <r>
    <x v="213"/>
    <x v="3"/>
    <x v="8"/>
    <d v="2014-08-09T00:00:00"/>
    <n v="4"/>
    <x v="1"/>
    <s v="Arthur Prichep"/>
    <x v="0"/>
    <s v="United States"/>
    <s v="Palm Coast"/>
    <s v="Florida"/>
    <x v="0"/>
    <x v="1"/>
    <x v="12"/>
    <s v="#10- 4 1/8&quot; x 9 1/2&quot; Security-Tint Envelopes"/>
    <n v="24.45"/>
    <n v="4"/>
    <n v="0.2"/>
    <n v="8.86"/>
  </r>
  <r>
    <x v="240"/>
    <x v="3"/>
    <x v="5"/>
    <s v="25-05-2014"/>
    <n v="5"/>
    <x v="1"/>
    <s v="Roland Schwarz"/>
    <x v="1"/>
    <s v="United States"/>
    <s v="Mount Vernon"/>
    <s v="New York"/>
    <x v="3"/>
    <x v="1"/>
    <x v="9"/>
    <s v="Bionaire Personal Warm Mist Humidifier/Vaporizer"/>
    <n v="281.33999999999997"/>
    <n v="6"/>
    <n v="0"/>
    <n v="109.72"/>
  </r>
  <r>
    <x v="240"/>
    <x v="3"/>
    <x v="5"/>
    <s v="25-05-2014"/>
    <n v="5"/>
    <x v="1"/>
    <s v="Roland Schwarz"/>
    <x v="1"/>
    <s v="United States"/>
    <s v="Mount Vernon"/>
    <s v="New York"/>
    <x v="3"/>
    <x v="2"/>
    <x v="7"/>
    <s v="Nortel Meridian M3904 Professional Digital phone"/>
    <n v="307.98"/>
    <n v="2"/>
    <n v="0"/>
    <n v="89.31"/>
  </r>
  <r>
    <x v="240"/>
    <x v="3"/>
    <x v="5"/>
    <s v="25-05-2014"/>
    <n v="5"/>
    <x v="1"/>
    <s v="Roland Schwarz"/>
    <x v="1"/>
    <s v="United States"/>
    <s v="Mount Vernon"/>
    <s v="New York"/>
    <x v="3"/>
    <x v="2"/>
    <x v="11"/>
    <s v="Logitech Wireless Performance Mouse MX for PC and Mac"/>
    <n v="299.97000000000003"/>
    <n v="3"/>
    <n v="0"/>
    <n v="113.99"/>
  </r>
  <r>
    <x v="268"/>
    <x v="2"/>
    <x v="7"/>
    <d v="2011-06-07T00:00:00"/>
    <n v="5"/>
    <x v="0"/>
    <s v="Dorris liebe"/>
    <x v="1"/>
    <s v="United States"/>
    <s v="Seattle"/>
    <s v="Washington"/>
    <x v="1"/>
    <x v="1"/>
    <x v="8"/>
    <s v="Cardinal Holdit Business Card Pockets"/>
    <n v="19.920000000000002"/>
    <n v="5"/>
    <n v="0.2"/>
    <n v="6.97"/>
  </r>
  <r>
    <x v="269"/>
    <x v="2"/>
    <x v="9"/>
    <s v="15-01-2011"/>
    <n v="3"/>
    <x v="2"/>
    <s v="Seth Vernon"/>
    <x v="0"/>
    <s v="United States"/>
    <s v="Dover"/>
    <s v="Delaware"/>
    <x v="3"/>
    <x v="0"/>
    <x v="5"/>
    <s v="DAX Value U-Channel Document Frames, Easel Back"/>
    <n v="9.94"/>
    <n v="2"/>
    <n v="0"/>
    <n v="3.08"/>
  </r>
  <r>
    <x v="241"/>
    <x v="3"/>
    <x v="8"/>
    <s v="30-09-2014"/>
    <n v="5"/>
    <x v="1"/>
    <s v="Kelly Collister"/>
    <x v="0"/>
    <s v="United States"/>
    <s v="Newark"/>
    <s v="Ohio"/>
    <x v="3"/>
    <x v="0"/>
    <x v="5"/>
    <s v="Howard Miller 13&quot; Diameter Pewter Finish Round Wall Clock"/>
    <n v="103.06"/>
    <n v="3"/>
    <n v="0.2"/>
    <n v="24.48"/>
  </r>
  <r>
    <x v="270"/>
    <x v="2"/>
    <x v="1"/>
    <d v="2011-07-06T00:00:00"/>
    <n v="5"/>
    <x v="1"/>
    <s v="Christine Kargatis"/>
    <x v="2"/>
    <s v="United States"/>
    <s v="Orem"/>
    <s v="Utah"/>
    <x v="1"/>
    <x v="1"/>
    <x v="8"/>
    <s v="GBC Standard Therm-A-Bind Covers"/>
    <n v="59.81"/>
    <n v="3"/>
    <n v="0.2"/>
    <n v="19.440000000000001"/>
  </r>
  <r>
    <x v="270"/>
    <x v="2"/>
    <x v="1"/>
    <d v="2011-07-06T00:00:00"/>
    <n v="5"/>
    <x v="1"/>
    <s v="Christine Kargatis"/>
    <x v="2"/>
    <s v="United States"/>
    <s v="Orem"/>
    <s v="Utah"/>
    <x v="1"/>
    <x v="0"/>
    <x v="5"/>
    <s v="Aluminum Document Frame"/>
    <n v="73.319999999999993"/>
    <n v="6"/>
    <n v="0"/>
    <n v="22"/>
  </r>
  <r>
    <x v="271"/>
    <x v="0"/>
    <x v="11"/>
    <s v="18-02-2013"/>
    <n v="5"/>
    <x v="1"/>
    <s v="Ross DeVincentis"/>
    <x v="2"/>
    <s v="United States"/>
    <s v="Los Angeles"/>
    <s v="California"/>
    <x v="1"/>
    <x v="1"/>
    <x v="10"/>
    <s v="Tops Green Bar Computer Printout Paper"/>
    <n v="146.82"/>
    <n v="3"/>
    <n v="0"/>
    <n v="73.41"/>
  </r>
  <r>
    <x v="272"/>
    <x v="0"/>
    <x v="4"/>
    <s v="20-12-2013"/>
    <n v="4"/>
    <x v="1"/>
    <s v="Michael Paige"/>
    <x v="1"/>
    <s v="United States"/>
    <s v="Detroit"/>
    <s v="Michigan"/>
    <x v="2"/>
    <x v="0"/>
    <x v="3"/>
    <s v="Chromcraft Bull-Nose Wood Oval Conference Tables &amp; Bases"/>
    <n v="1652.94"/>
    <n v="3"/>
    <n v="0"/>
    <n v="231.41"/>
  </r>
  <r>
    <x v="272"/>
    <x v="0"/>
    <x v="4"/>
    <s v="20-12-2013"/>
    <n v="4"/>
    <x v="1"/>
    <s v="Michael Paige"/>
    <x v="1"/>
    <s v="United States"/>
    <s v="Detroit"/>
    <s v="Michigan"/>
    <x v="2"/>
    <x v="1"/>
    <x v="4"/>
    <s v="Recycled Data-Pak for Archival Bound Computer Printouts, 12-1/2 x 12-1/2 x 16"/>
    <n v="296.37"/>
    <n v="3"/>
    <n v="0"/>
    <n v="80.02"/>
  </r>
  <r>
    <x v="273"/>
    <x v="2"/>
    <x v="2"/>
    <s v="13-10-2011"/>
    <n v="6"/>
    <x v="1"/>
    <s v="Mathew Reese"/>
    <x v="2"/>
    <s v="United States"/>
    <s v="Philadelphia"/>
    <s v="Pennsylvania"/>
    <x v="3"/>
    <x v="0"/>
    <x v="5"/>
    <s v="Seth Thomas 16&quot; Steel Case Clock"/>
    <n v="129.91999999999999"/>
    <n v="5"/>
    <n v="0.2"/>
    <n v="21.11"/>
  </r>
  <r>
    <x v="274"/>
    <x v="0"/>
    <x v="7"/>
    <s v="13-07-2013"/>
    <n v="5"/>
    <x v="1"/>
    <s v="Steve Chapman"/>
    <x v="1"/>
    <s v="United States"/>
    <s v="Hialeah"/>
    <s v="Florida"/>
    <x v="0"/>
    <x v="1"/>
    <x v="14"/>
    <s v="Acme Softgrip Scissors"/>
    <n v="45.58"/>
    <n v="7"/>
    <n v="0.2"/>
    <n v="5.13"/>
  </r>
  <r>
    <x v="118"/>
    <x v="3"/>
    <x v="8"/>
    <s v="21-09-2014"/>
    <n v="4"/>
    <x v="1"/>
    <s v="Jay Fein"/>
    <x v="0"/>
    <s v="United States"/>
    <s v="Austin"/>
    <s v="Texas"/>
    <x v="2"/>
    <x v="1"/>
    <x v="12"/>
    <s v="Manila Recycled Extra-Heavyweight Clasp Envelopes, 6&quot; x 9&quot;"/>
    <n v="17.57"/>
    <n v="2"/>
    <n v="0.2"/>
    <n v="6.37"/>
  </r>
  <r>
    <x v="118"/>
    <x v="3"/>
    <x v="8"/>
    <s v="21-09-2014"/>
    <n v="4"/>
    <x v="1"/>
    <s v="Jay Fein"/>
    <x v="0"/>
    <s v="United States"/>
    <s v="Austin"/>
    <s v="Texas"/>
    <x v="2"/>
    <x v="2"/>
    <x v="7"/>
    <s v="ClearSounds CSC500 Amplified Spirit Phone Corded phone"/>
    <n v="55.99"/>
    <n v="1"/>
    <n v="0.2"/>
    <n v="5.6"/>
  </r>
  <r>
    <x v="275"/>
    <x v="0"/>
    <x v="4"/>
    <d v="2013-07-12T00:00:00"/>
    <n v="3"/>
    <x v="2"/>
    <s v="Emily Grady"/>
    <x v="0"/>
    <s v="United States"/>
    <s v="Oceanside"/>
    <s v="New York"/>
    <x v="3"/>
    <x v="1"/>
    <x v="10"/>
    <s v="Xerox 1964"/>
    <n v="182.72"/>
    <n v="8"/>
    <n v="0"/>
    <n v="84.05"/>
  </r>
  <r>
    <x v="275"/>
    <x v="0"/>
    <x v="4"/>
    <d v="2013-07-12T00:00:00"/>
    <n v="3"/>
    <x v="2"/>
    <s v="Emily Grady"/>
    <x v="0"/>
    <s v="United States"/>
    <s v="Oceanside"/>
    <s v="New York"/>
    <x v="3"/>
    <x v="0"/>
    <x v="3"/>
    <s v="Bevis Traditional Conference Table Top, Plinth Base"/>
    <n v="400.03"/>
    <n v="2"/>
    <n v="0.4"/>
    <n v="-153.35"/>
  </r>
  <r>
    <x v="275"/>
    <x v="0"/>
    <x v="4"/>
    <d v="2013-07-12T00:00:00"/>
    <n v="3"/>
    <x v="2"/>
    <s v="Emily Grady"/>
    <x v="0"/>
    <s v="United States"/>
    <s v="Oceanside"/>
    <s v="New York"/>
    <x v="3"/>
    <x v="1"/>
    <x v="4"/>
    <s v="Personal Folder Holder, Ebony"/>
    <n v="33.630000000000003"/>
    <n v="3"/>
    <n v="0"/>
    <n v="10.09"/>
  </r>
  <r>
    <x v="275"/>
    <x v="0"/>
    <x v="4"/>
    <d v="2013-07-12T00:00:00"/>
    <n v="3"/>
    <x v="2"/>
    <s v="Emily Grady"/>
    <x v="0"/>
    <s v="United States"/>
    <s v="Oceanside"/>
    <s v="New York"/>
    <x v="3"/>
    <x v="0"/>
    <x v="1"/>
    <s v="Global Leather Highback Executive Chair with Pneumatic Height Adjustment, Black"/>
    <n v="542.65"/>
    <n v="3"/>
    <n v="0.1"/>
    <n v="102.5"/>
  </r>
  <r>
    <x v="275"/>
    <x v="0"/>
    <x v="4"/>
    <d v="2013-07-12T00:00:00"/>
    <n v="3"/>
    <x v="2"/>
    <s v="Emily Grady"/>
    <x v="0"/>
    <s v="United States"/>
    <s v="Oceanside"/>
    <s v="New York"/>
    <x v="3"/>
    <x v="1"/>
    <x v="2"/>
    <s v="Avery 520"/>
    <n v="6.3"/>
    <n v="2"/>
    <n v="0"/>
    <n v="3.02"/>
  </r>
  <r>
    <x v="276"/>
    <x v="3"/>
    <x v="9"/>
    <s v="26-01-2014"/>
    <n v="4"/>
    <x v="1"/>
    <s v="Darrin Sayre"/>
    <x v="2"/>
    <s v="United States"/>
    <s v="Seattle"/>
    <s v="Washington"/>
    <x v="1"/>
    <x v="1"/>
    <x v="4"/>
    <s v="Carina Double Wide Media Storage Towers in Natural &amp; Black"/>
    <n v="242.94"/>
    <n v="3"/>
    <n v="0"/>
    <n v="9.7200000000000006"/>
  </r>
  <r>
    <x v="276"/>
    <x v="3"/>
    <x v="9"/>
    <s v="26-01-2014"/>
    <n v="4"/>
    <x v="1"/>
    <s v="Darrin Sayre"/>
    <x v="2"/>
    <s v="United States"/>
    <s v="Seattle"/>
    <s v="Washington"/>
    <x v="1"/>
    <x v="2"/>
    <x v="11"/>
    <s v="Logitech Illuminated - Keyboard"/>
    <n v="179.97"/>
    <n v="3"/>
    <n v="0"/>
    <n v="86.39"/>
  </r>
  <r>
    <x v="276"/>
    <x v="3"/>
    <x v="9"/>
    <s v="26-01-2014"/>
    <n v="4"/>
    <x v="1"/>
    <s v="Darrin Sayre"/>
    <x v="2"/>
    <s v="United States"/>
    <s v="Seattle"/>
    <s v="Washington"/>
    <x v="1"/>
    <x v="1"/>
    <x v="8"/>
    <s v="Wilson Jones Century Plastic Molded Ring Binders"/>
    <n v="99.7"/>
    <n v="6"/>
    <n v="0.2"/>
    <n v="33.65"/>
  </r>
  <r>
    <x v="276"/>
    <x v="3"/>
    <x v="9"/>
    <s v="26-01-2014"/>
    <n v="4"/>
    <x v="1"/>
    <s v="Darrin Sayre"/>
    <x v="2"/>
    <s v="United States"/>
    <s v="Seattle"/>
    <s v="Washington"/>
    <x v="1"/>
    <x v="1"/>
    <x v="8"/>
    <s v="Wilson Jones Leather-Like Binders with DublLock Round Rings"/>
    <n v="27.94"/>
    <n v="4"/>
    <n v="0.2"/>
    <n v="9.43"/>
  </r>
  <r>
    <x v="276"/>
    <x v="3"/>
    <x v="9"/>
    <s v="26-01-2014"/>
    <n v="4"/>
    <x v="1"/>
    <s v="Darrin Sayre"/>
    <x v="2"/>
    <s v="United States"/>
    <s v="Seattle"/>
    <s v="Washington"/>
    <x v="1"/>
    <x v="0"/>
    <x v="0"/>
    <s v="O'Sullivan Cherrywood Estates Traditional Bookcase"/>
    <n v="84.98"/>
    <n v="1"/>
    <n v="0"/>
    <n v="18.7"/>
  </r>
  <r>
    <x v="276"/>
    <x v="3"/>
    <x v="9"/>
    <s v="26-01-2014"/>
    <n v="4"/>
    <x v="1"/>
    <s v="Darrin Sayre"/>
    <x v="2"/>
    <s v="United States"/>
    <s v="Seattle"/>
    <s v="Washington"/>
    <x v="1"/>
    <x v="1"/>
    <x v="8"/>
    <s v="Acco Translucent Poly Ring Binders"/>
    <n v="18.72"/>
    <n v="5"/>
    <n v="0.2"/>
    <n v="6.55"/>
  </r>
  <r>
    <x v="78"/>
    <x v="2"/>
    <x v="8"/>
    <d v="2011-12-09T00:00:00"/>
    <n v="4"/>
    <x v="1"/>
    <s v="Gary Zandusky"/>
    <x v="0"/>
    <s v="United States"/>
    <s v="San Francisco"/>
    <s v="California"/>
    <x v="1"/>
    <x v="2"/>
    <x v="11"/>
    <s v="Logitech Wireless Touch Keyboard K400"/>
    <n v="49.98"/>
    <n v="2"/>
    <n v="0"/>
    <n v="8.5"/>
  </r>
  <r>
    <x v="277"/>
    <x v="2"/>
    <x v="9"/>
    <d v="2011-09-01T00:00:00"/>
    <n v="4"/>
    <x v="1"/>
    <s v="Phillina Ober"/>
    <x v="2"/>
    <s v="United States"/>
    <s v="Naperville"/>
    <s v="Illinois"/>
    <x v="2"/>
    <x v="1"/>
    <x v="2"/>
    <s v="Avery 508"/>
    <n v="11.78"/>
    <n v="3"/>
    <n v="0.2"/>
    <n v="4.2699999999999996"/>
  </r>
  <r>
    <x v="277"/>
    <x v="2"/>
    <x v="9"/>
    <d v="2011-09-01T00:00:00"/>
    <n v="4"/>
    <x v="1"/>
    <s v="Phillina Ober"/>
    <x v="2"/>
    <s v="United States"/>
    <s v="Naperville"/>
    <s v="Illinois"/>
    <x v="2"/>
    <x v="1"/>
    <x v="4"/>
    <s v="SAFCO Boltless Steel Shelving"/>
    <n v="272.74"/>
    <n v="3"/>
    <n v="0.2"/>
    <n v="-64.77"/>
  </r>
  <r>
    <x v="277"/>
    <x v="2"/>
    <x v="9"/>
    <d v="2011-09-01T00:00:00"/>
    <n v="4"/>
    <x v="1"/>
    <s v="Phillina Ober"/>
    <x v="2"/>
    <s v="United States"/>
    <s v="Naperville"/>
    <s v="Illinois"/>
    <x v="2"/>
    <x v="1"/>
    <x v="8"/>
    <s v="GBC Standard Plastic Binding Systems Combs"/>
    <n v="3.54"/>
    <n v="2"/>
    <n v="0.8"/>
    <n v="-5.49"/>
  </r>
  <r>
    <x v="278"/>
    <x v="0"/>
    <x v="6"/>
    <d v="2013-02-09T00:00:00"/>
    <n v="5"/>
    <x v="1"/>
    <s v="Sung Shariari"/>
    <x v="0"/>
    <s v="United States"/>
    <s v="Dallas"/>
    <s v="Texas"/>
    <x v="2"/>
    <x v="1"/>
    <x v="14"/>
    <s v="Martin-Yale Premier Letter Opener"/>
    <n v="51.52"/>
    <n v="5"/>
    <n v="0.2"/>
    <n v="-10.95"/>
  </r>
  <r>
    <x v="278"/>
    <x v="0"/>
    <x v="6"/>
    <d v="2013-02-09T00:00:00"/>
    <n v="5"/>
    <x v="1"/>
    <s v="Sung Shariari"/>
    <x v="0"/>
    <s v="United States"/>
    <s v="Dallas"/>
    <s v="Texas"/>
    <x v="2"/>
    <x v="1"/>
    <x v="10"/>
    <s v="Ampad Gold Fibre Wirebound Steno Books, 6&quot; x 9&quot;, Gregg Ruled"/>
    <n v="3.53"/>
    <n v="1"/>
    <n v="0.2"/>
    <n v="1.1499999999999999"/>
  </r>
  <r>
    <x v="278"/>
    <x v="0"/>
    <x v="6"/>
    <d v="2013-02-09T00:00:00"/>
    <n v="5"/>
    <x v="1"/>
    <s v="Sung Shariari"/>
    <x v="0"/>
    <s v="United States"/>
    <s v="Dallas"/>
    <s v="Texas"/>
    <x v="2"/>
    <x v="1"/>
    <x v="10"/>
    <s v="Xerox 196"/>
    <n v="4.62"/>
    <n v="1"/>
    <n v="0.2"/>
    <n v="1.68"/>
  </r>
  <r>
    <x v="278"/>
    <x v="0"/>
    <x v="6"/>
    <d v="2013-02-09T00:00:00"/>
    <n v="5"/>
    <x v="1"/>
    <s v="Sung Shariari"/>
    <x v="0"/>
    <s v="United States"/>
    <s v="Dallas"/>
    <s v="Texas"/>
    <x v="2"/>
    <x v="1"/>
    <x v="14"/>
    <s v="Fiskars 8&quot; Scissors, 2/Pack"/>
    <n v="55.17"/>
    <n v="4"/>
    <n v="0.2"/>
    <n v="6.21"/>
  </r>
  <r>
    <x v="279"/>
    <x v="2"/>
    <x v="5"/>
    <s v="27-05-2011"/>
    <n v="0"/>
    <x v="3"/>
    <s v="Maya Herman"/>
    <x v="1"/>
    <s v="United States"/>
    <s v="San Diego"/>
    <s v="California"/>
    <x v="1"/>
    <x v="0"/>
    <x v="3"/>
    <s v="KI Conference Tables"/>
    <n v="567.12"/>
    <n v="10"/>
    <n v="0.2"/>
    <n v="-28.36"/>
  </r>
  <r>
    <x v="279"/>
    <x v="2"/>
    <x v="5"/>
    <s v="27-05-2011"/>
    <n v="0"/>
    <x v="3"/>
    <s v="Maya Herman"/>
    <x v="1"/>
    <s v="United States"/>
    <s v="San Diego"/>
    <s v="California"/>
    <x v="1"/>
    <x v="1"/>
    <x v="4"/>
    <s v="Fellowes Officeware Wire Shelving"/>
    <n v="359.32"/>
    <n v="4"/>
    <n v="0"/>
    <n v="7.19"/>
  </r>
  <r>
    <x v="231"/>
    <x v="0"/>
    <x v="10"/>
    <s v="23-03-2013"/>
    <n v="2"/>
    <x v="0"/>
    <s v="Peter Bühler"/>
    <x v="0"/>
    <s v="United States"/>
    <s v="Evanston"/>
    <s v="Illinois"/>
    <x v="2"/>
    <x v="2"/>
    <x v="7"/>
    <s v="Belkin iPhone and iPad Lightning Cable"/>
    <n v="11.99"/>
    <n v="1"/>
    <n v="0.2"/>
    <n v="0.9"/>
  </r>
  <r>
    <x v="280"/>
    <x v="3"/>
    <x v="2"/>
    <d v="2014-07-10T00:00:00"/>
    <n v="4"/>
    <x v="1"/>
    <s v="Roland Fjeld"/>
    <x v="0"/>
    <s v="United States"/>
    <s v="Trenton"/>
    <s v="Michigan"/>
    <x v="2"/>
    <x v="1"/>
    <x v="8"/>
    <s v="GBC Durable Plastic Covers"/>
    <n v="58.05"/>
    <n v="3"/>
    <n v="0"/>
    <n v="26.7"/>
  </r>
  <r>
    <x v="280"/>
    <x v="3"/>
    <x v="2"/>
    <d v="2014-07-10T00:00:00"/>
    <n v="4"/>
    <x v="1"/>
    <s v="Roland Fjeld"/>
    <x v="0"/>
    <s v="United States"/>
    <s v="Trenton"/>
    <s v="Michigan"/>
    <x v="2"/>
    <x v="0"/>
    <x v="5"/>
    <s v="Nu-Dell Leatherette Frames"/>
    <n v="157.74"/>
    <n v="11"/>
    <n v="0"/>
    <n v="56.79"/>
  </r>
  <r>
    <x v="280"/>
    <x v="3"/>
    <x v="2"/>
    <d v="2014-07-10T00:00:00"/>
    <n v="4"/>
    <x v="1"/>
    <s v="Roland Fjeld"/>
    <x v="0"/>
    <s v="United States"/>
    <s v="Trenton"/>
    <s v="Michigan"/>
    <x v="2"/>
    <x v="1"/>
    <x v="6"/>
    <s v="Avery Hi-Liter EverBold Pen Style Fluorescent Highlighters, 4/Pack"/>
    <n v="56.98"/>
    <n v="7"/>
    <n v="0"/>
    <n v="22.79"/>
  </r>
  <r>
    <x v="280"/>
    <x v="3"/>
    <x v="2"/>
    <d v="2014-07-10T00:00:00"/>
    <n v="4"/>
    <x v="1"/>
    <s v="Roland Fjeld"/>
    <x v="0"/>
    <s v="United States"/>
    <s v="Trenton"/>
    <s v="Michigan"/>
    <x v="2"/>
    <x v="1"/>
    <x v="8"/>
    <s v="Avery Durable Binders"/>
    <n v="2.88"/>
    <n v="1"/>
    <n v="0"/>
    <n v="1.41"/>
  </r>
  <r>
    <x v="281"/>
    <x v="0"/>
    <x v="3"/>
    <d v="2013-10-04T00:00:00"/>
    <n v="2"/>
    <x v="2"/>
    <s v="Yoseph Carroll"/>
    <x v="1"/>
    <s v="United States"/>
    <s v="San Francisco"/>
    <s v="California"/>
    <x v="1"/>
    <x v="2"/>
    <x v="16"/>
    <s v="Hewlett Packard 610 Color Digital Copier / Printer"/>
    <n v="1199.98"/>
    <n v="3"/>
    <n v="0.2"/>
    <n v="374.99"/>
  </r>
  <r>
    <x v="214"/>
    <x v="1"/>
    <x v="4"/>
    <d v="2012-12-12T00:00:00"/>
    <n v="5"/>
    <x v="1"/>
    <s v="Melanie Seite"/>
    <x v="0"/>
    <s v="United States"/>
    <s v="Los Angeles"/>
    <s v="California"/>
    <x v="1"/>
    <x v="0"/>
    <x v="5"/>
    <s v="12-1/2 Diameter Round Wall Clock"/>
    <n v="79.92"/>
    <n v="4"/>
    <n v="0"/>
    <n v="28.77"/>
  </r>
  <r>
    <x v="31"/>
    <x v="0"/>
    <x v="8"/>
    <s v="23-09-2013"/>
    <n v="4"/>
    <x v="1"/>
    <s v="Nona Balk"/>
    <x v="1"/>
    <s v="United States"/>
    <s v="Jacksonville"/>
    <s v="Florida"/>
    <x v="0"/>
    <x v="0"/>
    <x v="3"/>
    <s v="Chromcraft Round Conference Tables"/>
    <n v="383.44"/>
    <n v="4"/>
    <n v="0.45"/>
    <n v="-167.32"/>
  </r>
  <r>
    <x v="282"/>
    <x v="2"/>
    <x v="4"/>
    <d v="2012-02-01T00:00:00"/>
    <n v="4"/>
    <x v="1"/>
    <s v="Debra Catini"/>
    <x v="0"/>
    <s v="United States"/>
    <s v="Cottage Grove"/>
    <s v="Minnesota"/>
    <x v="2"/>
    <x v="1"/>
    <x v="4"/>
    <s v="Recycled Eldon Regeneration Jumbo File"/>
    <n v="24.56"/>
    <n v="2"/>
    <n v="0"/>
    <n v="6.88"/>
  </r>
  <r>
    <x v="282"/>
    <x v="2"/>
    <x v="4"/>
    <d v="2012-02-01T00:00:00"/>
    <n v="4"/>
    <x v="1"/>
    <s v="Debra Catini"/>
    <x v="0"/>
    <s v="United States"/>
    <s v="Cottage Grove"/>
    <s v="Minnesota"/>
    <x v="2"/>
    <x v="2"/>
    <x v="11"/>
    <s v="Imation 32GB Pocket Pro USB 3.0 Flash Drive - 32 GB - Black - 1 P ..."/>
    <n v="119.8"/>
    <n v="4"/>
    <n v="0"/>
    <n v="47.92"/>
  </r>
  <r>
    <x v="283"/>
    <x v="3"/>
    <x v="7"/>
    <s v="29-07-2014"/>
    <n v="5"/>
    <x v="1"/>
    <s v="Christine Phan"/>
    <x v="1"/>
    <s v="United States"/>
    <s v="New York City"/>
    <s v="New York"/>
    <x v="3"/>
    <x v="1"/>
    <x v="8"/>
    <s v="Angle-D Ring Binders"/>
    <n v="13.13"/>
    <n v="3"/>
    <n v="0.2"/>
    <n v="4.2699999999999996"/>
  </r>
  <r>
    <x v="65"/>
    <x v="3"/>
    <x v="8"/>
    <s v="23-09-2014"/>
    <n v="4"/>
    <x v="1"/>
    <s v="Barry Französisch"/>
    <x v="1"/>
    <s v="United States"/>
    <s v="Green Bay"/>
    <s v="Wisconsin"/>
    <x v="2"/>
    <x v="1"/>
    <x v="10"/>
    <s v="Adams Telephone Message Book W/Dividers/Space For Phone Numbers, 5 1/4&quot;X8 1/2&quot;, 200/Messages"/>
    <n v="22.72"/>
    <n v="4"/>
    <n v="0"/>
    <n v="10.220000000000001"/>
  </r>
  <r>
    <x v="284"/>
    <x v="1"/>
    <x v="6"/>
    <d v="2012-05-09T00:00:00"/>
    <n v="5"/>
    <x v="1"/>
    <s v="Andrew Roberts"/>
    <x v="0"/>
    <s v="United States"/>
    <s v="Los Angeles"/>
    <s v="California"/>
    <x v="1"/>
    <x v="1"/>
    <x v="10"/>
    <s v="Xerox 226"/>
    <n v="58.32"/>
    <n v="9"/>
    <n v="0"/>
    <n v="27.99"/>
  </r>
  <r>
    <x v="132"/>
    <x v="3"/>
    <x v="0"/>
    <d v="2014-08-11T00:00:00"/>
    <n v="4"/>
    <x v="1"/>
    <s v="Julie Creighton"/>
    <x v="1"/>
    <s v="United States"/>
    <s v="Atlanta"/>
    <s v="Georgia"/>
    <x v="0"/>
    <x v="1"/>
    <x v="2"/>
    <s v="Avery 476"/>
    <n v="12.39"/>
    <n v="3"/>
    <n v="0"/>
    <n v="5.7"/>
  </r>
  <r>
    <x v="285"/>
    <x v="1"/>
    <x v="11"/>
    <s v="13-02-2012"/>
    <n v="5"/>
    <x v="1"/>
    <s v="Lisa Hazard"/>
    <x v="0"/>
    <s v="United States"/>
    <s v="Columbus"/>
    <s v="Ohio"/>
    <x v="3"/>
    <x v="2"/>
    <x v="7"/>
    <s v="JBL Micro Wireless Portable Bluetooth Speaker"/>
    <n v="107.98"/>
    <n v="3"/>
    <n v="0.4"/>
    <n v="-27"/>
  </r>
  <r>
    <x v="286"/>
    <x v="2"/>
    <x v="9"/>
    <s v="16-01-2011"/>
    <n v="2"/>
    <x v="0"/>
    <s v="Chris Selesnick"/>
    <x v="1"/>
    <s v="United States"/>
    <s v="Bossier City"/>
    <s v="Louisiana"/>
    <x v="0"/>
    <x v="1"/>
    <x v="12"/>
    <s v="Staples"/>
    <n v="11.36"/>
    <n v="2"/>
    <n v="0"/>
    <n v="5.34"/>
  </r>
  <r>
    <x v="286"/>
    <x v="2"/>
    <x v="9"/>
    <s v="16-01-2011"/>
    <n v="2"/>
    <x v="0"/>
    <s v="Chris Selesnick"/>
    <x v="1"/>
    <s v="United States"/>
    <s v="Bossier City"/>
    <s v="Louisiana"/>
    <x v="0"/>
    <x v="1"/>
    <x v="12"/>
    <s v="Brown Kraft Recycled Envelopes"/>
    <n v="50.94"/>
    <n v="3"/>
    <n v="0"/>
    <n v="25.47"/>
  </r>
  <r>
    <x v="286"/>
    <x v="2"/>
    <x v="9"/>
    <s v="16-01-2011"/>
    <n v="2"/>
    <x v="0"/>
    <s v="Chris Selesnick"/>
    <x v="1"/>
    <s v="United States"/>
    <s v="Bossier City"/>
    <s v="Louisiana"/>
    <x v="0"/>
    <x v="2"/>
    <x v="11"/>
    <s v="Plantronics S12 Corded Telephone Headset System"/>
    <n v="646.74"/>
    <n v="6"/>
    <n v="0"/>
    <n v="258.7"/>
  </r>
  <r>
    <x v="286"/>
    <x v="2"/>
    <x v="9"/>
    <s v="16-01-2011"/>
    <n v="2"/>
    <x v="0"/>
    <s v="Chris Selesnick"/>
    <x v="1"/>
    <s v="United States"/>
    <s v="Bossier City"/>
    <s v="Louisiana"/>
    <x v="0"/>
    <x v="1"/>
    <x v="8"/>
    <s v="Staples"/>
    <n v="5.64"/>
    <n v="3"/>
    <n v="0"/>
    <n v="2.71"/>
  </r>
  <r>
    <x v="286"/>
    <x v="2"/>
    <x v="9"/>
    <s v="16-01-2011"/>
    <n v="2"/>
    <x v="0"/>
    <s v="Chris Selesnick"/>
    <x v="1"/>
    <s v="United States"/>
    <s v="Bossier City"/>
    <s v="Louisiana"/>
    <x v="0"/>
    <x v="1"/>
    <x v="4"/>
    <s v="Fellowes Stor/Drawer Steel Plus Storage Drawers"/>
    <n v="572.58000000000004"/>
    <n v="6"/>
    <n v="0"/>
    <n v="34.35"/>
  </r>
  <r>
    <x v="287"/>
    <x v="2"/>
    <x v="5"/>
    <s v="20-05-2011"/>
    <n v="6"/>
    <x v="1"/>
    <s v="Anthony Johnson"/>
    <x v="1"/>
    <s v="United States"/>
    <s v="Saint Petersburg"/>
    <s v="Florida"/>
    <x v="0"/>
    <x v="0"/>
    <x v="5"/>
    <s v="Electrix Halogen Magnifier Lamp"/>
    <n v="310.88"/>
    <n v="2"/>
    <n v="0.2"/>
    <n v="23.32"/>
  </r>
  <r>
    <x v="288"/>
    <x v="0"/>
    <x v="5"/>
    <s v="25-05-2013"/>
    <n v="5"/>
    <x v="1"/>
    <s v="Laurel Elliston"/>
    <x v="0"/>
    <s v="United States"/>
    <s v="Arlington"/>
    <s v="Virginia"/>
    <x v="0"/>
    <x v="0"/>
    <x v="1"/>
    <s v="Hon 4070 Series Pagoda Round Back Stacking Chairs"/>
    <n v="641.96"/>
    <n v="2"/>
    <n v="0"/>
    <n v="179.75"/>
  </r>
  <r>
    <x v="289"/>
    <x v="3"/>
    <x v="9"/>
    <d v="2014-06-02T00:00:00"/>
    <n v="6"/>
    <x v="1"/>
    <s v="Benjamin Venier"/>
    <x v="1"/>
    <s v="United States"/>
    <s v="Des Moines"/>
    <s v="Iowa"/>
    <x v="2"/>
    <x v="1"/>
    <x v="8"/>
    <s v="Cardinal EasyOpen D-Ring Binders"/>
    <n v="18.28"/>
    <n v="2"/>
    <n v="0"/>
    <n v="9.14"/>
  </r>
  <r>
    <x v="289"/>
    <x v="3"/>
    <x v="9"/>
    <d v="2014-06-02T00:00:00"/>
    <n v="6"/>
    <x v="1"/>
    <s v="Benjamin Venier"/>
    <x v="1"/>
    <s v="United States"/>
    <s v="Des Moines"/>
    <s v="Iowa"/>
    <x v="2"/>
    <x v="2"/>
    <x v="7"/>
    <s v="AT&amp;T 841000 Phone"/>
    <n v="207"/>
    <n v="3"/>
    <n v="0"/>
    <n v="51.75"/>
  </r>
  <r>
    <x v="289"/>
    <x v="3"/>
    <x v="9"/>
    <d v="2014-06-02T00:00:00"/>
    <n v="6"/>
    <x v="1"/>
    <s v="Benjamin Venier"/>
    <x v="1"/>
    <s v="United States"/>
    <s v="Des Moines"/>
    <s v="Iowa"/>
    <x v="2"/>
    <x v="1"/>
    <x v="8"/>
    <s v="GBC Instant Report Kit"/>
    <n v="32.35"/>
    <n v="5"/>
    <n v="0"/>
    <n v="16.18"/>
  </r>
  <r>
    <x v="289"/>
    <x v="3"/>
    <x v="9"/>
    <d v="2014-06-02T00:00:00"/>
    <n v="6"/>
    <x v="1"/>
    <s v="Benjamin Venier"/>
    <x v="1"/>
    <s v="United States"/>
    <s v="Des Moines"/>
    <s v="Iowa"/>
    <x v="2"/>
    <x v="1"/>
    <x v="8"/>
    <s v="DXL Angle-View Binders with Locking Rings by Samsill"/>
    <n v="7.71"/>
    <n v="1"/>
    <n v="0"/>
    <n v="3.47"/>
  </r>
  <r>
    <x v="289"/>
    <x v="3"/>
    <x v="9"/>
    <d v="2014-06-02T00:00:00"/>
    <n v="6"/>
    <x v="1"/>
    <s v="Benjamin Venier"/>
    <x v="1"/>
    <s v="United States"/>
    <s v="Des Moines"/>
    <s v="Iowa"/>
    <x v="2"/>
    <x v="1"/>
    <x v="6"/>
    <s v="Boston 19500 Mighty Mite Electric Pencil Sharpener"/>
    <n v="40.299999999999997"/>
    <n v="2"/>
    <n v="0"/>
    <n v="10.88"/>
  </r>
  <r>
    <x v="289"/>
    <x v="3"/>
    <x v="9"/>
    <d v="2014-06-02T00:00:00"/>
    <n v="6"/>
    <x v="1"/>
    <s v="Benjamin Venier"/>
    <x v="1"/>
    <s v="United States"/>
    <s v="Des Moines"/>
    <s v="Iowa"/>
    <x v="2"/>
    <x v="0"/>
    <x v="5"/>
    <s v="C-Line Magnetic Cubicle Keepers, Clear Polypropylene"/>
    <n v="34.58"/>
    <n v="7"/>
    <n v="0"/>
    <n v="14.52"/>
  </r>
  <r>
    <x v="290"/>
    <x v="2"/>
    <x v="1"/>
    <d v="2011-06-07T00:00:00"/>
    <n v="7"/>
    <x v="1"/>
    <s v="Dan Lawera"/>
    <x v="0"/>
    <s v="United States"/>
    <s v="Cincinnati"/>
    <s v="Ohio"/>
    <x v="3"/>
    <x v="1"/>
    <x v="6"/>
    <s v="Dixon My First Ticonderoga Pencil, #2"/>
    <n v="32.76"/>
    <n v="7"/>
    <n v="0.2"/>
    <n v="3.69"/>
  </r>
  <r>
    <x v="291"/>
    <x v="1"/>
    <x v="6"/>
    <s v="23-08-2012"/>
    <n v="2"/>
    <x v="2"/>
    <s v="Nick Zandusky"/>
    <x v="2"/>
    <s v="United States"/>
    <s v="San Francisco"/>
    <s v="California"/>
    <x v="1"/>
    <x v="0"/>
    <x v="1"/>
    <s v="Hon GuestStacker Chair"/>
    <n v="544.01"/>
    <n v="3"/>
    <n v="0.2"/>
    <n v="40.799999999999997"/>
  </r>
  <r>
    <x v="291"/>
    <x v="1"/>
    <x v="6"/>
    <s v="23-08-2012"/>
    <n v="2"/>
    <x v="2"/>
    <s v="Nick Zandusky"/>
    <x v="2"/>
    <s v="United States"/>
    <s v="San Francisco"/>
    <s v="California"/>
    <x v="1"/>
    <x v="1"/>
    <x v="10"/>
    <s v="Xerox 191"/>
    <n v="59.94"/>
    <n v="3"/>
    <n v="0"/>
    <n v="28.17"/>
  </r>
  <r>
    <x v="291"/>
    <x v="1"/>
    <x v="6"/>
    <s v="23-08-2012"/>
    <n v="2"/>
    <x v="2"/>
    <s v="Nick Zandusky"/>
    <x v="2"/>
    <s v="United States"/>
    <s v="San Francisco"/>
    <s v="California"/>
    <x v="1"/>
    <x v="1"/>
    <x v="10"/>
    <s v="Xerox 1974"/>
    <n v="23.92"/>
    <n v="4"/>
    <n v="0"/>
    <n v="11.72"/>
  </r>
  <r>
    <x v="291"/>
    <x v="1"/>
    <x v="6"/>
    <s v="23-08-2012"/>
    <n v="2"/>
    <x v="2"/>
    <s v="Nick Zandusky"/>
    <x v="2"/>
    <s v="United States"/>
    <s v="San Francisco"/>
    <s v="California"/>
    <x v="1"/>
    <x v="1"/>
    <x v="10"/>
    <s v="Xerox 1927"/>
    <n v="4.28"/>
    <n v="1"/>
    <n v="0"/>
    <n v="1.93"/>
  </r>
  <r>
    <x v="292"/>
    <x v="1"/>
    <x v="2"/>
    <d v="2012-06-10T00:00:00"/>
    <n v="3"/>
    <x v="0"/>
    <s v="Bryan Mills"/>
    <x v="0"/>
    <s v="United States"/>
    <s v="Columbus"/>
    <s v="Ohio"/>
    <x v="3"/>
    <x v="1"/>
    <x v="8"/>
    <s v="Acco D-Ring Binder w/DublLock"/>
    <n v="32.07"/>
    <n v="5"/>
    <n v="0.7"/>
    <n v="-22.45"/>
  </r>
  <r>
    <x v="292"/>
    <x v="1"/>
    <x v="2"/>
    <d v="2012-06-10T00:00:00"/>
    <n v="3"/>
    <x v="0"/>
    <s v="Bryan Mills"/>
    <x v="0"/>
    <s v="United States"/>
    <s v="Columbus"/>
    <s v="Ohio"/>
    <x v="3"/>
    <x v="2"/>
    <x v="11"/>
    <s v="Imation 8gb Micro Traveldrive Usb 2.0 Flash Drive"/>
    <n v="24"/>
    <n v="2"/>
    <n v="0.2"/>
    <n v="-2.7"/>
  </r>
  <r>
    <x v="292"/>
    <x v="1"/>
    <x v="2"/>
    <d v="2012-06-10T00:00:00"/>
    <n v="3"/>
    <x v="0"/>
    <s v="Bryan Mills"/>
    <x v="0"/>
    <s v="United States"/>
    <s v="Columbus"/>
    <s v="Ohio"/>
    <x v="3"/>
    <x v="0"/>
    <x v="0"/>
    <s v="Safco Value Mate Series Steel Bookcases, Baked Enamel Finish on Steel, Gray"/>
    <n v="35.49"/>
    <n v="1"/>
    <n v="0.5"/>
    <n v="-15.62"/>
  </r>
  <r>
    <x v="292"/>
    <x v="1"/>
    <x v="2"/>
    <d v="2012-06-10T00:00:00"/>
    <n v="3"/>
    <x v="0"/>
    <s v="Bryan Mills"/>
    <x v="0"/>
    <s v="United States"/>
    <s v="Columbus"/>
    <s v="Ohio"/>
    <x v="3"/>
    <x v="2"/>
    <x v="11"/>
    <s v="Microsoft Natural Ergonomic Keyboard 4000"/>
    <n v="47.98"/>
    <n v="2"/>
    <n v="0.2"/>
    <n v="0.6"/>
  </r>
  <r>
    <x v="293"/>
    <x v="1"/>
    <x v="5"/>
    <s v="28-05-2012"/>
    <n v="5"/>
    <x v="1"/>
    <s v="Erin Ashbrook"/>
    <x v="1"/>
    <s v="United States"/>
    <s v="Columbia"/>
    <s v="South Carolina"/>
    <x v="0"/>
    <x v="1"/>
    <x v="12"/>
    <s v="Cameo Buff Policy Envelopes"/>
    <n v="186.69"/>
    <n v="3"/>
    <n v="0"/>
    <n v="87.74"/>
  </r>
  <r>
    <x v="294"/>
    <x v="3"/>
    <x v="10"/>
    <s v="22-03-2014"/>
    <n v="4"/>
    <x v="0"/>
    <s v="Clay Ludtke"/>
    <x v="0"/>
    <s v="United States"/>
    <s v="Lancaster"/>
    <s v="California"/>
    <x v="1"/>
    <x v="1"/>
    <x v="8"/>
    <s v="Heavy-Duty E-Z-D Binders"/>
    <n v="17.46"/>
    <n v="2"/>
    <n v="0.2"/>
    <n v="5.89"/>
  </r>
  <r>
    <x v="295"/>
    <x v="1"/>
    <x v="4"/>
    <s v="16-12-2012"/>
    <n v="4"/>
    <x v="1"/>
    <s v="Liz Thompson"/>
    <x v="0"/>
    <s v="United States"/>
    <s v="Lancaster"/>
    <s v="California"/>
    <x v="1"/>
    <x v="0"/>
    <x v="1"/>
    <s v="Lifetime Advantage Folding Chairs, 4/Carton"/>
    <n v="348.93"/>
    <n v="2"/>
    <n v="0.2"/>
    <n v="34.89"/>
  </r>
  <r>
    <x v="153"/>
    <x v="1"/>
    <x v="1"/>
    <s v="30-06-2012"/>
    <n v="4"/>
    <x v="1"/>
    <s v="Sue Ann Reed"/>
    <x v="0"/>
    <s v="United States"/>
    <s v="Richmond"/>
    <s v="Virginia"/>
    <x v="0"/>
    <x v="1"/>
    <x v="8"/>
    <s v="GBC VeloBinder Manual Binding System"/>
    <n v="143.96"/>
    <n v="4"/>
    <n v="0"/>
    <n v="69.099999999999994"/>
  </r>
  <r>
    <x v="153"/>
    <x v="1"/>
    <x v="1"/>
    <s v="30-06-2012"/>
    <n v="4"/>
    <x v="1"/>
    <s v="Sue Ann Reed"/>
    <x v="0"/>
    <s v="United States"/>
    <s v="Richmond"/>
    <s v="Virginia"/>
    <x v="0"/>
    <x v="1"/>
    <x v="4"/>
    <s v="Decoflex Hanging Personal Folder File, Blue"/>
    <n v="15.42"/>
    <n v="1"/>
    <n v="0"/>
    <n v="4.16"/>
  </r>
  <r>
    <x v="153"/>
    <x v="1"/>
    <x v="1"/>
    <s v="30-06-2012"/>
    <n v="4"/>
    <x v="1"/>
    <s v="Sue Ann Reed"/>
    <x v="0"/>
    <s v="United States"/>
    <s v="Richmond"/>
    <s v="Virginia"/>
    <x v="0"/>
    <x v="1"/>
    <x v="8"/>
    <s v="Acco PRESSTEX Data Binder with Storage Hooks, Dark Blue, 9 1/2&quot; X 11&quot;"/>
    <n v="43.04"/>
    <n v="8"/>
    <n v="0"/>
    <n v="21.09"/>
  </r>
  <r>
    <x v="153"/>
    <x v="1"/>
    <x v="1"/>
    <s v="30-06-2012"/>
    <n v="4"/>
    <x v="1"/>
    <s v="Sue Ann Reed"/>
    <x v="0"/>
    <s v="United States"/>
    <s v="Richmond"/>
    <s v="Virginia"/>
    <x v="0"/>
    <x v="0"/>
    <x v="1"/>
    <s v="Office Star - Contemporary Task Swivel Chair"/>
    <n v="332.94"/>
    <n v="3"/>
    <n v="0"/>
    <n v="79.91"/>
  </r>
  <r>
    <x v="244"/>
    <x v="0"/>
    <x v="5"/>
    <s v="21-05-2013"/>
    <n v="0"/>
    <x v="3"/>
    <s v="Joe Kamberova"/>
    <x v="0"/>
    <s v="United States"/>
    <s v="Asheville"/>
    <s v="North Carolina"/>
    <x v="0"/>
    <x v="2"/>
    <x v="7"/>
    <s v="Cisco Unified IP Phone 7945G VoIP phone"/>
    <n v="1363.96"/>
    <n v="5"/>
    <n v="0.2"/>
    <n v="85.25"/>
  </r>
  <r>
    <x v="59"/>
    <x v="2"/>
    <x v="8"/>
    <s v="26-09-2011"/>
    <n v="6"/>
    <x v="1"/>
    <s v="Erica Smith"/>
    <x v="0"/>
    <s v="United States"/>
    <s v="San Francisco"/>
    <s v="California"/>
    <x v="1"/>
    <x v="1"/>
    <x v="2"/>
    <s v="Avery 499"/>
    <n v="9.9600000000000009"/>
    <n v="2"/>
    <n v="0"/>
    <n v="4.58"/>
  </r>
  <r>
    <x v="59"/>
    <x v="2"/>
    <x v="8"/>
    <s v="26-09-2011"/>
    <n v="6"/>
    <x v="1"/>
    <s v="Erica Smith"/>
    <x v="0"/>
    <s v="United States"/>
    <s v="San Francisco"/>
    <s v="California"/>
    <x v="1"/>
    <x v="1"/>
    <x v="10"/>
    <s v="Wirebound Message Book, 4 per Page"/>
    <n v="21.72"/>
    <n v="4"/>
    <n v="0"/>
    <n v="10.64"/>
  </r>
  <r>
    <x v="296"/>
    <x v="3"/>
    <x v="8"/>
    <s v="27-09-2014"/>
    <n v="5"/>
    <x v="1"/>
    <s v="Rick Hansen"/>
    <x v="0"/>
    <s v="United States"/>
    <s v="Rochester"/>
    <s v="Minnesota"/>
    <x v="2"/>
    <x v="1"/>
    <x v="8"/>
    <s v="Avery Durable Binders"/>
    <n v="20.16"/>
    <n v="7"/>
    <n v="0"/>
    <n v="9.8800000000000008"/>
  </r>
  <r>
    <x v="100"/>
    <x v="1"/>
    <x v="4"/>
    <s v="26-12-2012"/>
    <n v="2"/>
    <x v="2"/>
    <s v="David Bremer"/>
    <x v="1"/>
    <s v="United States"/>
    <s v="Rochester"/>
    <s v="New York"/>
    <x v="3"/>
    <x v="1"/>
    <x v="10"/>
    <s v="Xerox 1887"/>
    <n v="132.79"/>
    <n v="7"/>
    <n v="0"/>
    <n v="63.74"/>
  </r>
  <r>
    <x v="100"/>
    <x v="1"/>
    <x v="4"/>
    <s v="26-12-2012"/>
    <n v="2"/>
    <x v="2"/>
    <s v="David Bremer"/>
    <x v="1"/>
    <s v="United States"/>
    <s v="Rochester"/>
    <s v="New York"/>
    <x v="3"/>
    <x v="1"/>
    <x v="10"/>
    <s v="Xerox 1967"/>
    <n v="12.96"/>
    <n v="2"/>
    <n v="0"/>
    <n v="6.22"/>
  </r>
  <r>
    <x v="100"/>
    <x v="1"/>
    <x v="4"/>
    <s v="26-12-2012"/>
    <n v="2"/>
    <x v="2"/>
    <s v="David Bremer"/>
    <x v="1"/>
    <s v="United States"/>
    <s v="Rochester"/>
    <s v="New York"/>
    <x v="3"/>
    <x v="1"/>
    <x v="2"/>
    <s v="Smead Alpha-Z Color-Coded Second Alphabetical Labels and Starter Set"/>
    <n v="21.56"/>
    <n v="7"/>
    <n v="0"/>
    <n v="10.35"/>
  </r>
  <r>
    <x v="154"/>
    <x v="1"/>
    <x v="0"/>
    <d v="2012-03-12T00:00:00"/>
    <n v="6"/>
    <x v="1"/>
    <s v="Carlos Daly"/>
    <x v="0"/>
    <s v="United States"/>
    <s v="Lake Elsinore"/>
    <s v="California"/>
    <x v="1"/>
    <x v="0"/>
    <x v="1"/>
    <s v="Situations Contoured Folding Chairs, 4/Set"/>
    <n v="283.92"/>
    <n v="5"/>
    <n v="0.2"/>
    <n v="17.75"/>
  </r>
  <r>
    <x v="297"/>
    <x v="3"/>
    <x v="11"/>
    <s v="24-02-2014"/>
    <n v="3"/>
    <x v="2"/>
    <s v="Helen Wasserman"/>
    <x v="1"/>
    <s v="United States"/>
    <s v="San Diego"/>
    <s v="California"/>
    <x v="1"/>
    <x v="0"/>
    <x v="5"/>
    <s v="Executive Impressions 14&quot; Contract Wall Clock"/>
    <n v="22.23"/>
    <n v="1"/>
    <n v="0"/>
    <n v="7.34"/>
  </r>
  <r>
    <x v="297"/>
    <x v="3"/>
    <x v="11"/>
    <s v="24-02-2014"/>
    <n v="3"/>
    <x v="2"/>
    <s v="Helen Wasserman"/>
    <x v="1"/>
    <s v="United States"/>
    <s v="San Diego"/>
    <s v="California"/>
    <x v="1"/>
    <x v="2"/>
    <x v="7"/>
    <s v="Logitech Mobile Speakerphone P710e - speaker phone"/>
    <n v="215.97"/>
    <n v="2"/>
    <n v="0.2"/>
    <n v="18.899999999999999"/>
  </r>
  <r>
    <x v="298"/>
    <x v="0"/>
    <x v="6"/>
    <s v="24-08-2013"/>
    <n v="5"/>
    <x v="0"/>
    <s v="Helen Wasserman"/>
    <x v="1"/>
    <s v="United States"/>
    <s v="New York City"/>
    <s v="New York"/>
    <x v="3"/>
    <x v="1"/>
    <x v="9"/>
    <s v="Belkin 7 Outlet SurgeMaster II"/>
    <n v="355.32"/>
    <n v="9"/>
    <n v="0"/>
    <n v="99.49"/>
  </r>
  <r>
    <x v="299"/>
    <x v="0"/>
    <x v="10"/>
    <s v="18-03-2013"/>
    <n v="5"/>
    <x v="1"/>
    <s v="Mike Caudle"/>
    <x v="1"/>
    <s v="United States"/>
    <s v="Monroe"/>
    <s v="Louisiana"/>
    <x v="0"/>
    <x v="1"/>
    <x v="10"/>
    <s v="Xerox 218"/>
    <n v="12.96"/>
    <n v="2"/>
    <n v="0"/>
    <n v="6.22"/>
  </r>
  <r>
    <x v="300"/>
    <x v="3"/>
    <x v="3"/>
    <s v="25-04-2014"/>
    <n v="2"/>
    <x v="2"/>
    <s v="Gary McGarr"/>
    <x v="0"/>
    <s v="United States"/>
    <s v="San Francisco"/>
    <s v="California"/>
    <x v="1"/>
    <x v="0"/>
    <x v="5"/>
    <s v="Eldon Stackable Tray, Side-Load, Legal, Smoke"/>
    <n v="18.28"/>
    <n v="2"/>
    <n v="0"/>
    <n v="6.22"/>
  </r>
  <r>
    <x v="301"/>
    <x v="2"/>
    <x v="0"/>
    <d v="2011-07-11T00:00:00"/>
    <n v="6"/>
    <x v="1"/>
    <s v="Russell Applegate"/>
    <x v="0"/>
    <s v="United States"/>
    <s v="Denver"/>
    <s v="Colorado"/>
    <x v="1"/>
    <x v="1"/>
    <x v="6"/>
    <s v="Model L Table or Wall-Mount Pencil Sharpener"/>
    <n v="43.18"/>
    <n v="3"/>
    <n v="0.2"/>
    <n v="4.32"/>
  </r>
  <r>
    <x v="301"/>
    <x v="2"/>
    <x v="0"/>
    <d v="2011-07-11T00:00:00"/>
    <n v="6"/>
    <x v="1"/>
    <s v="Russell Applegate"/>
    <x v="0"/>
    <s v="United States"/>
    <s v="Denver"/>
    <s v="Colorado"/>
    <x v="1"/>
    <x v="2"/>
    <x v="7"/>
    <s v="ClearOne CHATAttach 160 - speaker phone"/>
    <n v="1983.97"/>
    <n v="4"/>
    <n v="0.2"/>
    <n v="248"/>
  </r>
  <r>
    <x v="302"/>
    <x v="1"/>
    <x v="11"/>
    <d v="2012-05-02T00:00:00"/>
    <n v="2"/>
    <x v="2"/>
    <s v="Allen Armold"/>
    <x v="0"/>
    <s v="United States"/>
    <s v="Omaha"/>
    <s v="Nebraska"/>
    <x v="2"/>
    <x v="0"/>
    <x v="5"/>
    <s v="Coloredge Poster Frame"/>
    <n v="28.4"/>
    <n v="2"/>
    <n v="0"/>
    <n v="11.08"/>
  </r>
  <r>
    <x v="302"/>
    <x v="1"/>
    <x v="11"/>
    <d v="2012-05-02T00:00:00"/>
    <n v="2"/>
    <x v="2"/>
    <s v="Allen Armold"/>
    <x v="0"/>
    <s v="United States"/>
    <s v="Omaha"/>
    <s v="Nebraska"/>
    <x v="2"/>
    <x v="2"/>
    <x v="11"/>
    <s v="Kensington SlimBlade Notebook Wireless Mouse with Nano Receiver "/>
    <n v="149.97"/>
    <n v="3"/>
    <n v="0"/>
    <n v="50.99"/>
  </r>
  <r>
    <x v="303"/>
    <x v="2"/>
    <x v="2"/>
    <s v="15-10-2011"/>
    <n v="2"/>
    <x v="2"/>
    <s v="Zuschuss Carroll"/>
    <x v="0"/>
    <s v="United States"/>
    <s v="Edmonds"/>
    <s v="Washington"/>
    <x v="1"/>
    <x v="1"/>
    <x v="6"/>
    <s v="Newell 32"/>
    <n v="11.52"/>
    <n v="4"/>
    <n v="0"/>
    <n v="3.23"/>
  </r>
  <r>
    <x v="303"/>
    <x v="2"/>
    <x v="2"/>
    <s v="15-10-2011"/>
    <n v="2"/>
    <x v="2"/>
    <s v="Zuschuss Carroll"/>
    <x v="0"/>
    <s v="United States"/>
    <s v="Edmonds"/>
    <s v="Washington"/>
    <x v="1"/>
    <x v="0"/>
    <x v="3"/>
    <s v="Bevis Round Bullnose 29&quot; High Table Top"/>
    <n v="1298.55"/>
    <n v="5"/>
    <n v="0"/>
    <n v="311.64999999999998"/>
  </r>
  <r>
    <x v="303"/>
    <x v="2"/>
    <x v="2"/>
    <s v="15-10-2011"/>
    <n v="2"/>
    <x v="2"/>
    <s v="Zuschuss Carroll"/>
    <x v="0"/>
    <s v="United States"/>
    <s v="Edmonds"/>
    <s v="Washington"/>
    <x v="1"/>
    <x v="1"/>
    <x v="9"/>
    <s v="Belkin F9G930V10-GRY 9 Outlet Surge"/>
    <n v="213.92"/>
    <n v="4"/>
    <n v="0"/>
    <n v="62.04"/>
  </r>
  <r>
    <x v="303"/>
    <x v="2"/>
    <x v="2"/>
    <s v="15-10-2011"/>
    <n v="2"/>
    <x v="2"/>
    <s v="Zuschuss Carroll"/>
    <x v="0"/>
    <s v="United States"/>
    <s v="Edmonds"/>
    <s v="Washington"/>
    <x v="1"/>
    <x v="2"/>
    <x v="11"/>
    <s v="Sony 16GB Class 10 Micro SDHC R40 Memory Card"/>
    <n v="25.78"/>
    <n v="2"/>
    <n v="0"/>
    <n v="2.58"/>
  </r>
  <r>
    <x v="304"/>
    <x v="3"/>
    <x v="5"/>
    <s v="15-05-2014"/>
    <n v="0"/>
    <x v="3"/>
    <s v="Pauline Johnson"/>
    <x v="0"/>
    <s v="United States"/>
    <s v="Santa Ana"/>
    <s v="California"/>
    <x v="1"/>
    <x v="0"/>
    <x v="5"/>
    <s v="Eldon Stackable Tray, Side-Load, Legal, Smoke"/>
    <n v="18.28"/>
    <n v="2"/>
    <n v="0"/>
    <n v="6.22"/>
  </r>
  <r>
    <x v="304"/>
    <x v="3"/>
    <x v="5"/>
    <s v="15-05-2014"/>
    <n v="0"/>
    <x v="3"/>
    <s v="Pauline Johnson"/>
    <x v="0"/>
    <s v="United States"/>
    <s v="Santa Ana"/>
    <s v="California"/>
    <x v="1"/>
    <x v="2"/>
    <x v="11"/>
    <s v="Razer Tiamat Over Ear 7.1 Surround Sound PC Gaming Headset"/>
    <n v="1399.93"/>
    <n v="7"/>
    <n v="0"/>
    <n v="601.97"/>
  </r>
  <r>
    <x v="305"/>
    <x v="1"/>
    <x v="10"/>
    <s v="23-03-2012"/>
    <n v="3"/>
    <x v="2"/>
    <s v="Bart Watters"/>
    <x v="1"/>
    <s v="United States"/>
    <s v="Milwaukee"/>
    <s v="Wisconsin"/>
    <x v="2"/>
    <x v="1"/>
    <x v="10"/>
    <s v="Xerox 205"/>
    <n v="51.84"/>
    <n v="8"/>
    <n v="0"/>
    <n v="24.88"/>
  </r>
  <r>
    <x v="306"/>
    <x v="0"/>
    <x v="8"/>
    <s v="20-09-2013"/>
    <n v="4"/>
    <x v="1"/>
    <s v="Dean Braden"/>
    <x v="0"/>
    <s v="United States"/>
    <s v="Philadelphia"/>
    <s v="Pennsylvania"/>
    <x v="3"/>
    <x v="1"/>
    <x v="10"/>
    <s v="Xerox 1968"/>
    <n v="5.34"/>
    <n v="1"/>
    <n v="0.2"/>
    <n v="1.87"/>
  </r>
  <r>
    <x v="307"/>
    <x v="2"/>
    <x v="1"/>
    <d v="2011-02-07T00:00:00"/>
    <n v="4"/>
    <x v="1"/>
    <s v="Cynthia Arntzen"/>
    <x v="0"/>
    <s v="United States"/>
    <s v="Philadelphia"/>
    <s v="Pennsylvania"/>
    <x v="3"/>
    <x v="1"/>
    <x v="10"/>
    <s v="Xerox 1995"/>
    <n v="41.47"/>
    <n v="8"/>
    <n v="0.2"/>
    <n v="14.52"/>
  </r>
  <r>
    <x v="307"/>
    <x v="2"/>
    <x v="1"/>
    <d v="2011-02-07T00:00:00"/>
    <n v="4"/>
    <x v="1"/>
    <s v="Cynthia Arntzen"/>
    <x v="0"/>
    <s v="United States"/>
    <s v="Philadelphia"/>
    <s v="Pennsylvania"/>
    <x v="3"/>
    <x v="1"/>
    <x v="8"/>
    <s v="Self-Adhesive Ring Binder Labels"/>
    <n v="3.17"/>
    <n v="3"/>
    <n v="0.7"/>
    <n v="-2.4300000000000002"/>
  </r>
  <r>
    <x v="307"/>
    <x v="2"/>
    <x v="1"/>
    <d v="2011-02-07T00:00:00"/>
    <n v="4"/>
    <x v="1"/>
    <s v="Cynthia Arntzen"/>
    <x v="0"/>
    <s v="United States"/>
    <s v="Philadelphia"/>
    <s v="Pennsylvania"/>
    <x v="3"/>
    <x v="0"/>
    <x v="1"/>
    <s v="Global Leather Executive Chair"/>
    <n v="1228.47"/>
    <n v="5"/>
    <n v="0.3"/>
    <n v="0"/>
  </r>
  <r>
    <x v="307"/>
    <x v="2"/>
    <x v="1"/>
    <d v="2011-02-07T00:00:00"/>
    <n v="4"/>
    <x v="1"/>
    <s v="Cynthia Arntzen"/>
    <x v="0"/>
    <s v="United States"/>
    <s v="Philadelphia"/>
    <s v="Pennsylvania"/>
    <x v="3"/>
    <x v="1"/>
    <x v="8"/>
    <s v="GBC Recycled Grain Textured Covers"/>
    <n v="31.09"/>
    <n v="3"/>
    <n v="0.7"/>
    <n v="-22.8"/>
  </r>
  <r>
    <x v="307"/>
    <x v="2"/>
    <x v="1"/>
    <d v="2011-02-07T00:00:00"/>
    <n v="4"/>
    <x v="1"/>
    <s v="Cynthia Arntzen"/>
    <x v="0"/>
    <s v="United States"/>
    <s v="Philadelphia"/>
    <s v="Pennsylvania"/>
    <x v="3"/>
    <x v="1"/>
    <x v="10"/>
    <s v="Xerox 1941"/>
    <n v="335.52"/>
    <n v="4"/>
    <n v="0.2"/>
    <n v="117.43"/>
  </r>
  <r>
    <x v="308"/>
    <x v="3"/>
    <x v="1"/>
    <s v="28-06-2014"/>
    <n v="7"/>
    <x v="1"/>
    <s v="Toby Ritter"/>
    <x v="0"/>
    <s v="United States"/>
    <s v="Belleville"/>
    <s v="New Jersey"/>
    <x v="3"/>
    <x v="2"/>
    <x v="11"/>
    <s v="Razer Kraken PRO Over Ear PC and Music Headset"/>
    <n v="239.97"/>
    <n v="3"/>
    <n v="0"/>
    <n v="71.989999999999995"/>
  </r>
  <r>
    <x v="308"/>
    <x v="3"/>
    <x v="1"/>
    <s v="28-06-2014"/>
    <n v="7"/>
    <x v="1"/>
    <s v="Toby Ritter"/>
    <x v="0"/>
    <s v="United States"/>
    <s v="Belleville"/>
    <s v="New Jersey"/>
    <x v="3"/>
    <x v="1"/>
    <x v="2"/>
    <s v="Avery 508"/>
    <n v="9.82"/>
    <n v="2"/>
    <n v="0"/>
    <n v="4.8099999999999996"/>
  </r>
  <r>
    <x v="309"/>
    <x v="2"/>
    <x v="5"/>
    <s v="15-05-2011"/>
    <n v="6"/>
    <x v="1"/>
    <s v="Patrick Gardner"/>
    <x v="0"/>
    <s v="United States"/>
    <s v="San Francisco"/>
    <s v="California"/>
    <x v="1"/>
    <x v="2"/>
    <x v="11"/>
    <s v="Kingston Digital DataTraveler 32GB USB 2.0"/>
    <n v="67.8"/>
    <n v="4"/>
    <n v="0"/>
    <n v="4.07"/>
  </r>
  <r>
    <x v="309"/>
    <x v="2"/>
    <x v="5"/>
    <s v="15-05-2011"/>
    <n v="6"/>
    <x v="1"/>
    <s v="Patrick Gardner"/>
    <x v="0"/>
    <s v="United States"/>
    <s v="San Francisco"/>
    <s v="California"/>
    <x v="1"/>
    <x v="2"/>
    <x v="11"/>
    <s v="Sony Micro Vault Click 16 GB USB 2.0 Flash Drive"/>
    <n v="167.97"/>
    <n v="3"/>
    <n v="0"/>
    <n v="40.31"/>
  </r>
  <r>
    <x v="170"/>
    <x v="3"/>
    <x v="6"/>
    <s v="29-08-2014"/>
    <n v="7"/>
    <x v="1"/>
    <s v="Greg Tran"/>
    <x v="0"/>
    <s v="United States"/>
    <s v="Lakeville"/>
    <s v="Minnesota"/>
    <x v="2"/>
    <x v="1"/>
    <x v="13"/>
    <s v="Advantus Plastic Paper Clips"/>
    <n v="35"/>
    <n v="7"/>
    <n v="0"/>
    <n v="16.8"/>
  </r>
  <r>
    <x v="170"/>
    <x v="3"/>
    <x v="6"/>
    <s v="29-08-2014"/>
    <n v="7"/>
    <x v="1"/>
    <s v="Greg Tran"/>
    <x v="0"/>
    <s v="United States"/>
    <s v="Lakeville"/>
    <s v="Minnesota"/>
    <x v="2"/>
    <x v="1"/>
    <x v="14"/>
    <s v="Acme Forged Steel Scissors with Black Enamel Handles"/>
    <n v="37.24"/>
    <n v="4"/>
    <n v="0"/>
    <n v="10.8"/>
  </r>
  <r>
    <x v="170"/>
    <x v="3"/>
    <x v="6"/>
    <s v="29-08-2014"/>
    <n v="7"/>
    <x v="1"/>
    <s v="Greg Tran"/>
    <x v="0"/>
    <s v="United States"/>
    <s v="Lakeville"/>
    <s v="Minnesota"/>
    <x v="2"/>
    <x v="1"/>
    <x v="12"/>
    <s v="Security-Tint Envelopes"/>
    <n v="15.28"/>
    <n v="2"/>
    <n v="0"/>
    <n v="7.49"/>
  </r>
  <r>
    <x v="114"/>
    <x v="3"/>
    <x v="1"/>
    <s v="22-06-2014"/>
    <n v="5"/>
    <x v="0"/>
    <s v="Joel Eaton"/>
    <x v="0"/>
    <s v="United States"/>
    <s v="Florence"/>
    <s v="Kentucky"/>
    <x v="0"/>
    <x v="0"/>
    <x v="1"/>
    <s v="Global Airflow Leather Mesh Back Chair, Black"/>
    <n v="301.95999999999998"/>
    <n v="2"/>
    <n v="0"/>
    <n v="90.59"/>
  </r>
  <r>
    <x v="114"/>
    <x v="3"/>
    <x v="1"/>
    <s v="22-06-2014"/>
    <n v="5"/>
    <x v="0"/>
    <s v="Joel Eaton"/>
    <x v="0"/>
    <s v="United States"/>
    <s v="Florence"/>
    <s v="Kentucky"/>
    <x v="0"/>
    <x v="1"/>
    <x v="9"/>
    <s v="Fellowes Smart Surge Ten-Outlet Protector, Platinum"/>
    <n v="180.66"/>
    <n v="3"/>
    <n v="0"/>
    <n v="50.58"/>
  </r>
  <r>
    <x v="114"/>
    <x v="3"/>
    <x v="1"/>
    <s v="22-06-2014"/>
    <n v="5"/>
    <x v="0"/>
    <s v="Joel Eaton"/>
    <x v="0"/>
    <s v="United States"/>
    <s v="Florence"/>
    <s v="Kentucky"/>
    <x v="0"/>
    <x v="2"/>
    <x v="7"/>
    <s v="Pyle PMP37LED"/>
    <n v="191.98"/>
    <n v="2"/>
    <n v="0"/>
    <n v="51.83"/>
  </r>
  <r>
    <x v="114"/>
    <x v="3"/>
    <x v="1"/>
    <s v="22-06-2014"/>
    <n v="5"/>
    <x v="0"/>
    <s v="Joel Eaton"/>
    <x v="0"/>
    <s v="United States"/>
    <s v="Florence"/>
    <s v="Kentucky"/>
    <x v="0"/>
    <x v="2"/>
    <x v="7"/>
    <s v="Clarity 53712"/>
    <n v="65.989999999999995"/>
    <n v="1"/>
    <n v="0"/>
    <n v="17.16"/>
  </r>
  <r>
    <x v="310"/>
    <x v="0"/>
    <x v="7"/>
    <s v="28-07-2013"/>
    <n v="4"/>
    <x v="1"/>
    <s v="Jennifer Braxton"/>
    <x v="1"/>
    <s v="United States"/>
    <s v="Tampa"/>
    <s v="Florida"/>
    <x v="0"/>
    <x v="1"/>
    <x v="6"/>
    <s v="Boston 16801 Nautilus Battery Pencil Sharpener"/>
    <n v="35.22"/>
    <n v="2"/>
    <n v="0.2"/>
    <n v="2.64"/>
  </r>
  <r>
    <x v="310"/>
    <x v="0"/>
    <x v="7"/>
    <s v="28-07-2013"/>
    <n v="4"/>
    <x v="1"/>
    <s v="Jennifer Braxton"/>
    <x v="1"/>
    <s v="United States"/>
    <s v="Tampa"/>
    <s v="Florida"/>
    <x v="0"/>
    <x v="1"/>
    <x v="9"/>
    <s v="Holmes Replacement Filter for HEPA Air Cleaner, Large Room"/>
    <n v="23.7"/>
    <n v="2"/>
    <n v="0.2"/>
    <n v="6.52"/>
  </r>
  <r>
    <x v="310"/>
    <x v="0"/>
    <x v="7"/>
    <s v="28-07-2013"/>
    <n v="4"/>
    <x v="1"/>
    <s v="Jennifer Braxton"/>
    <x v="1"/>
    <s v="United States"/>
    <s v="Tampa"/>
    <s v="Florida"/>
    <x v="0"/>
    <x v="2"/>
    <x v="15"/>
    <s v="Zebra GX420t Direct Thermal/Thermal Transfer Printer"/>
    <n v="265.48"/>
    <n v="1"/>
    <n v="0.5"/>
    <n v="-111.5"/>
  </r>
  <r>
    <x v="78"/>
    <x v="2"/>
    <x v="8"/>
    <s v="13-09-2011"/>
    <n v="5"/>
    <x v="0"/>
    <s v="Lisa Hazard"/>
    <x v="0"/>
    <s v="United States"/>
    <s v="Tyler"/>
    <s v="Texas"/>
    <x v="2"/>
    <x v="1"/>
    <x v="8"/>
    <s v="GBC ProClick Punch Binding System"/>
    <n v="51.18"/>
    <n v="4"/>
    <n v="0.8"/>
    <n v="-79.34"/>
  </r>
  <r>
    <x v="259"/>
    <x v="3"/>
    <x v="0"/>
    <d v="2014-12-11T00:00:00"/>
    <n v="7"/>
    <x v="1"/>
    <s v="James Lanier"/>
    <x v="2"/>
    <s v="United States"/>
    <s v="Columbia"/>
    <s v="Tennessee"/>
    <x v="0"/>
    <x v="1"/>
    <x v="10"/>
    <s v="Adams Telephone Message Books, 5 1/4” x 11”"/>
    <n v="9.66"/>
    <n v="2"/>
    <n v="0.2"/>
    <n v="3.26"/>
  </r>
  <r>
    <x v="311"/>
    <x v="0"/>
    <x v="10"/>
    <s v="13-03-2013"/>
    <n v="5"/>
    <x v="1"/>
    <s v="Ed Braxton"/>
    <x v="1"/>
    <s v="United States"/>
    <s v="Fort Worth"/>
    <s v="Texas"/>
    <x v="2"/>
    <x v="2"/>
    <x v="7"/>
    <s v="Belkin Grip Candy Sheer Case / Cover for iPhone 5 and 5S"/>
    <n v="21.07"/>
    <n v="3"/>
    <n v="0.2"/>
    <n v="1.58"/>
  </r>
  <r>
    <x v="312"/>
    <x v="1"/>
    <x v="0"/>
    <s v="25-11-2012"/>
    <n v="5"/>
    <x v="1"/>
    <s v="Brian Moss"/>
    <x v="1"/>
    <s v="United States"/>
    <s v="New York City"/>
    <s v="New York"/>
    <x v="3"/>
    <x v="1"/>
    <x v="6"/>
    <s v="Boston 19500 Mighty Mite Electric Pencil Sharpener"/>
    <n v="60.45"/>
    <n v="3"/>
    <n v="0"/>
    <n v="16.32"/>
  </r>
  <r>
    <x v="312"/>
    <x v="1"/>
    <x v="0"/>
    <s v="25-11-2012"/>
    <n v="5"/>
    <x v="1"/>
    <s v="Brian Moss"/>
    <x v="1"/>
    <s v="United States"/>
    <s v="New York City"/>
    <s v="New York"/>
    <x v="3"/>
    <x v="1"/>
    <x v="6"/>
    <s v="Newell 335"/>
    <n v="11.52"/>
    <n v="4"/>
    <n v="0"/>
    <n v="3.34"/>
  </r>
  <r>
    <x v="312"/>
    <x v="1"/>
    <x v="0"/>
    <s v="25-11-2012"/>
    <n v="5"/>
    <x v="1"/>
    <s v="Brian Moss"/>
    <x v="1"/>
    <s v="United States"/>
    <s v="New York City"/>
    <s v="New York"/>
    <x v="3"/>
    <x v="0"/>
    <x v="0"/>
    <s v="O'Sullivan 3-Shelf Heavy-Duty Bookcases"/>
    <n v="186.05"/>
    <n v="4"/>
    <n v="0.2"/>
    <n v="9.3000000000000007"/>
  </r>
  <r>
    <x v="77"/>
    <x v="0"/>
    <x v="0"/>
    <d v="2013-10-11T00:00:00"/>
    <n v="2"/>
    <x v="2"/>
    <s v="Eudokia Martin"/>
    <x v="1"/>
    <s v="United States"/>
    <s v="Los Angeles"/>
    <s v="California"/>
    <x v="1"/>
    <x v="1"/>
    <x v="8"/>
    <s v="Fellowes Binding Cases"/>
    <n v="37.44"/>
    <n v="4"/>
    <n v="0.2"/>
    <n v="11.7"/>
  </r>
  <r>
    <x v="77"/>
    <x v="0"/>
    <x v="0"/>
    <d v="2013-10-11T00:00:00"/>
    <n v="2"/>
    <x v="2"/>
    <s v="Eudokia Martin"/>
    <x v="1"/>
    <s v="United States"/>
    <s v="Los Angeles"/>
    <s v="California"/>
    <x v="1"/>
    <x v="1"/>
    <x v="8"/>
    <s v="Ibico Plastic and Wire Spiral Binding Combs"/>
    <n v="26.98"/>
    <n v="4"/>
    <n v="0.2"/>
    <n v="8.77"/>
  </r>
  <r>
    <x v="77"/>
    <x v="0"/>
    <x v="0"/>
    <d v="2013-10-11T00:00:00"/>
    <n v="2"/>
    <x v="2"/>
    <s v="Eudokia Martin"/>
    <x v="1"/>
    <s v="United States"/>
    <s v="Los Angeles"/>
    <s v="California"/>
    <x v="1"/>
    <x v="1"/>
    <x v="14"/>
    <s v="Acme Preferred Stainless Steel Scissors"/>
    <n v="11.36"/>
    <n v="2"/>
    <n v="0"/>
    <n v="3.29"/>
  </r>
  <r>
    <x v="77"/>
    <x v="0"/>
    <x v="0"/>
    <d v="2013-10-11T00:00:00"/>
    <n v="2"/>
    <x v="2"/>
    <s v="Eudokia Martin"/>
    <x v="1"/>
    <s v="United States"/>
    <s v="Los Angeles"/>
    <s v="California"/>
    <x v="1"/>
    <x v="1"/>
    <x v="2"/>
    <s v="Avery 486"/>
    <n v="14.62"/>
    <n v="2"/>
    <n v="0"/>
    <n v="6.87"/>
  </r>
  <r>
    <x v="313"/>
    <x v="1"/>
    <x v="2"/>
    <s v="17-10-2012"/>
    <n v="4"/>
    <x v="1"/>
    <s v="Art Foster"/>
    <x v="0"/>
    <s v="United States"/>
    <s v="Louisville"/>
    <s v="Kentucky"/>
    <x v="0"/>
    <x v="2"/>
    <x v="7"/>
    <s v="I Need's 3d Hello Kitty Hybrid Silicone Case Cover for HTC One X 4g with 3d Hello Kitty Stylus Pen Green/pink"/>
    <n v="83.72"/>
    <n v="7"/>
    <n v="0"/>
    <n v="23.44"/>
  </r>
  <r>
    <x v="313"/>
    <x v="1"/>
    <x v="2"/>
    <s v="17-10-2012"/>
    <n v="4"/>
    <x v="1"/>
    <s v="Art Foster"/>
    <x v="0"/>
    <s v="United States"/>
    <s v="Louisville"/>
    <s v="Kentucky"/>
    <x v="0"/>
    <x v="0"/>
    <x v="1"/>
    <s v="Global Deluxe Office Fabric Chairs"/>
    <n v="287.94"/>
    <n v="3"/>
    <n v="0"/>
    <n v="77.739999999999995"/>
  </r>
  <r>
    <x v="314"/>
    <x v="3"/>
    <x v="9"/>
    <d v="2014-07-01T00:00:00"/>
    <n v="5"/>
    <x v="1"/>
    <s v="Guy Armstrong"/>
    <x v="0"/>
    <s v="United States"/>
    <s v="Lorain"/>
    <s v="Ohio"/>
    <x v="3"/>
    <x v="0"/>
    <x v="5"/>
    <s v="Linden 10&quot; Round Wall Clock, Black"/>
    <n v="48.9"/>
    <n v="4"/>
    <n v="0.2"/>
    <n v="8.56"/>
  </r>
  <r>
    <x v="315"/>
    <x v="2"/>
    <x v="11"/>
    <s v="13-02-2011"/>
    <n v="5"/>
    <x v="1"/>
    <s v="Cyma Kinney"/>
    <x v="1"/>
    <s v="United States"/>
    <s v="Linden"/>
    <s v="New Jersey"/>
    <x v="3"/>
    <x v="2"/>
    <x v="11"/>
    <s v="Maxell DVD-RAM Discs"/>
    <n v="115.36"/>
    <n v="7"/>
    <n v="0"/>
    <n v="49.6"/>
  </r>
  <r>
    <x v="23"/>
    <x v="0"/>
    <x v="1"/>
    <s v="26-06-2013"/>
    <n v="5"/>
    <x v="0"/>
    <s v="Dave Poirier"/>
    <x v="1"/>
    <s v="United States"/>
    <s v="Salinas"/>
    <s v="California"/>
    <x v="1"/>
    <x v="1"/>
    <x v="6"/>
    <s v="DIXON Oriole Pencils"/>
    <n v="5.16"/>
    <n v="2"/>
    <n v="0"/>
    <n v="1.34"/>
  </r>
  <r>
    <x v="23"/>
    <x v="0"/>
    <x v="1"/>
    <s v="26-06-2013"/>
    <n v="5"/>
    <x v="0"/>
    <s v="Dave Poirier"/>
    <x v="1"/>
    <s v="United States"/>
    <s v="Salinas"/>
    <s v="California"/>
    <x v="1"/>
    <x v="1"/>
    <x v="10"/>
    <s v="Xerox 202"/>
    <n v="38.880000000000003"/>
    <n v="6"/>
    <n v="0"/>
    <n v="18.66"/>
  </r>
  <r>
    <x v="316"/>
    <x v="0"/>
    <x v="5"/>
    <d v="2013-05-06T00:00:00"/>
    <n v="7"/>
    <x v="1"/>
    <s v="Valerie Dominguez"/>
    <x v="0"/>
    <s v="United States"/>
    <s v="Jackson"/>
    <s v="Mississippi"/>
    <x v="0"/>
    <x v="1"/>
    <x v="6"/>
    <s v="Boston School Pro Electric Pencil Sharpener, 1670"/>
    <n v="185.88"/>
    <n v="6"/>
    <n v="0"/>
    <n v="50.19"/>
  </r>
  <r>
    <x v="317"/>
    <x v="0"/>
    <x v="11"/>
    <s v="24-02-2013"/>
    <n v="5"/>
    <x v="1"/>
    <s v="Greg Tran"/>
    <x v="0"/>
    <s v="United States"/>
    <s v="New York City"/>
    <s v="New York"/>
    <x v="3"/>
    <x v="0"/>
    <x v="5"/>
    <s v="Executive Impressions 14&quot; Contract Wall Clock"/>
    <n v="44.46"/>
    <n v="2"/>
    <n v="0"/>
    <n v="14.67"/>
  </r>
  <r>
    <x v="317"/>
    <x v="0"/>
    <x v="11"/>
    <s v="24-02-2013"/>
    <n v="5"/>
    <x v="1"/>
    <s v="Greg Tran"/>
    <x v="0"/>
    <s v="United States"/>
    <s v="New York City"/>
    <s v="New York"/>
    <x v="3"/>
    <x v="1"/>
    <x v="4"/>
    <s v="Carina Double Wide Media Storage Towers in Natural &amp; Black"/>
    <n v="242.94"/>
    <n v="3"/>
    <n v="0"/>
    <n v="9.7200000000000006"/>
  </r>
  <r>
    <x v="93"/>
    <x v="2"/>
    <x v="6"/>
    <d v="2011-08-08T00:00:00"/>
    <n v="5"/>
    <x v="1"/>
    <s v="Berenike Kampe"/>
    <x v="0"/>
    <s v="United States"/>
    <s v="New York City"/>
    <s v="New York"/>
    <x v="3"/>
    <x v="1"/>
    <x v="10"/>
    <s v="Xerox 1884"/>
    <n v="39.96"/>
    <n v="2"/>
    <n v="0"/>
    <n v="18.78"/>
  </r>
  <r>
    <x v="93"/>
    <x v="2"/>
    <x v="6"/>
    <d v="2011-08-08T00:00:00"/>
    <n v="5"/>
    <x v="1"/>
    <s v="Berenike Kampe"/>
    <x v="0"/>
    <s v="United States"/>
    <s v="New York City"/>
    <s v="New York"/>
    <x v="3"/>
    <x v="1"/>
    <x v="14"/>
    <s v="Acme Box Cutter Scissors"/>
    <n v="102.3"/>
    <n v="10"/>
    <n v="0"/>
    <n v="26.6"/>
  </r>
  <r>
    <x v="93"/>
    <x v="2"/>
    <x v="6"/>
    <d v="2011-08-08T00:00:00"/>
    <n v="5"/>
    <x v="1"/>
    <s v="Berenike Kampe"/>
    <x v="0"/>
    <s v="United States"/>
    <s v="New York City"/>
    <s v="New York"/>
    <x v="3"/>
    <x v="1"/>
    <x v="4"/>
    <s v="Staples"/>
    <n v="21.36"/>
    <n v="2"/>
    <n v="0"/>
    <n v="5.77"/>
  </r>
  <r>
    <x v="318"/>
    <x v="3"/>
    <x v="3"/>
    <s v="16-04-2014"/>
    <n v="5"/>
    <x v="1"/>
    <s v="Sanjit Jacobs"/>
    <x v="2"/>
    <s v="United States"/>
    <s v="New Brunswick"/>
    <s v="New Jersey"/>
    <x v="3"/>
    <x v="1"/>
    <x v="10"/>
    <s v="Wirebound Message Books, Two 4 1/4&quot; x 5&quot; Forms per Page"/>
    <n v="7.61"/>
    <n v="1"/>
    <n v="0"/>
    <n v="3.58"/>
  </r>
  <r>
    <x v="318"/>
    <x v="3"/>
    <x v="3"/>
    <s v="16-04-2014"/>
    <n v="5"/>
    <x v="1"/>
    <s v="Sanjit Jacobs"/>
    <x v="2"/>
    <s v="United States"/>
    <s v="New Brunswick"/>
    <s v="New Jersey"/>
    <x v="3"/>
    <x v="1"/>
    <x v="13"/>
    <s v="OIC Binder Clips"/>
    <n v="7.16"/>
    <n v="2"/>
    <n v="0"/>
    <n v="3.58"/>
  </r>
  <r>
    <x v="3"/>
    <x v="2"/>
    <x v="1"/>
    <s v="16-06-2011"/>
    <n v="7"/>
    <x v="1"/>
    <s v="Chuck Magee"/>
    <x v="0"/>
    <s v="United States"/>
    <s v="San Francisco"/>
    <s v="California"/>
    <x v="1"/>
    <x v="1"/>
    <x v="14"/>
    <s v="Staples"/>
    <n v="7.36"/>
    <n v="2"/>
    <n v="0"/>
    <n v="0.15"/>
  </r>
  <r>
    <x v="3"/>
    <x v="2"/>
    <x v="1"/>
    <s v="16-06-2011"/>
    <n v="7"/>
    <x v="1"/>
    <s v="Chuck Magee"/>
    <x v="0"/>
    <s v="United States"/>
    <s v="San Francisco"/>
    <s v="California"/>
    <x v="1"/>
    <x v="1"/>
    <x v="6"/>
    <s v="Deluxe Chalkboard Eraser Cleaner"/>
    <n v="23.1"/>
    <n v="2"/>
    <n v="0"/>
    <n v="10.63"/>
  </r>
  <r>
    <x v="319"/>
    <x v="0"/>
    <x v="9"/>
    <d v="2013-07-01T00:00:00"/>
    <n v="2"/>
    <x v="0"/>
    <s v="Anthony Johnson"/>
    <x v="1"/>
    <s v="United States"/>
    <s v="Jacksonville"/>
    <s v="Florida"/>
    <x v="0"/>
    <x v="2"/>
    <x v="11"/>
    <s v="Logitech MX Performance Wireless Mouse"/>
    <n v="191.47"/>
    <n v="6"/>
    <n v="0.2"/>
    <n v="40.69"/>
  </r>
  <r>
    <x v="319"/>
    <x v="0"/>
    <x v="9"/>
    <d v="2013-07-01T00:00:00"/>
    <n v="2"/>
    <x v="0"/>
    <s v="Anthony Johnson"/>
    <x v="1"/>
    <s v="United States"/>
    <s v="Jacksonville"/>
    <s v="Florida"/>
    <x v="0"/>
    <x v="1"/>
    <x v="6"/>
    <s v="Newell 337"/>
    <n v="5.25"/>
    <n v="2"/>
    <n v="0.2"/>
    <n v="0.59"/>
  </r>
  <r>
    <x v="319"/>
    <x v="0"/>
    <x v="9"/>
    <d v="2013-07-01T00:00:00"/>
    <n v="2"/>
    <x v="0"/>
    <s v="Anthony Johnson"/>
    <x v="1"/>
    <s v="United States"/>
    <s v="Jacksonville"/>
    <s v="Florida"/>
    <x v="0"/>
    <x v="2"/>
    <x v="7"/>
    <s v="Logitech B530 USB Headset - headset - Full size, Binaural"/>
    <n v="59.18"/>
    <n v="2"/>
    <n v="0.2"/>
    <n v="5.18"/>
  </r>
  <r>
    <x v="320"/>
    <x v="2"/>
    <x v="9"/>
    <s v="16-01-2011"/>
    <n v="5"/>
    <x v="1"/>
    <s v="Anthony Jacobs"/>
    <x v="1"/>
    <s v="United States"/>
    <s v="Springfield"/>
    <s v="Virginia"/>
    <x v="0"/>
    <x v="1"/>
    <x v="2"/>
    <s v="Avery 482"/>
    <n v="2.89"/>
    <n v="1"/>
    <n v="0"/>
    <n v="1.36"/>
  </r>
  <r>
    <x v="320"/>
    <x v="2"/>
    <x v="9"/>
    <s v="16-01-2011"/>
    <n v="5"/>
    <x v="1"/>
    <s v="Anthony Jacobs"/>
    <x v="1"/>
    <s v="United States"/>
    <s v="Springfield"/>
    <s v="Virginia"/>
    <x v="0"/>
    <x v="0"/>
    <x v="5"/>
    <s v="Howard Miller 11-1/2&quot; Diameter Ridgewood Wall Clock"/>
    <n v="51.94"/>
    <n v="1"/>
    <n v="0"/>
    <n v="21.3"/>
  </r>
  <r>
    <x v="321"/>
    <x v="0"/>
    <x v="8"/>
    <d v="2013-03-10T00:00:00"/>
    <n v="3"/>
    <x v="2"/>
    <s v="Linda Southworth"/>
    <x v="1"/>
    <s v="United States"/>
    <s v="Philadelphia"/>
    <s v="Pennsylvania"/>
    <x v="3"/>
    <x v="1"/>
    <x v="2"/>
    <s v="Avery 483"/>
    <n v="15.94"/>
    <n v="4"/>
    <n v="0.2"/>
    <n v="5.18"/>
  </r>
  <r>
    <x v="322"/>
    <x v="2"/>
    <x v="3"/>
    <d v="2011-10-04T00:00:00"/>
    <n v="4"/>
    <x v="1"/>
    <s v="Guy Phonely"/>
    <x v="1"/>
    <s v="United States"/>
    <s v="Lancaster"/>
    <s v="Pennsylvania"/>
    <x v="3"/>
    <x v="1"/>
    <x v="8"/>
    <s v="Large Capacity Hanging Post Binders"/>
    <n v="44.91"/>
    <n v="6"/>
    <n v="0.7"/>
    <n v="-35.93"/>
  </r>
  <r>
    <x v="323"/>
    <x v="0"/>
    <x v="8"/>
    <d v="2013-06-09T00:00:00"/>
    <n v="2"/>
    <x v="2"/>
    <s v="Paul Knutson"/>
    <x v="2"/>
    <s v="United States"/>
    <s v="Philadelphia"/>
    <s v="Pennsylvania"/>
    <x v="3"/>
    <x v="1"/>
    <x v="8"/>
    <s v="GBC Ibimaster 500 Manual ProClick Binding System"/>
    <n v="1141.47"/>
    <n v="5"/>
    <n v="0.7"/>
    <n v="-760.98"/>
  </r>
  <r>
    <x v="323"/>
    <x v="0"/>
    <x v="8"/>
    <d v="2013-06-09T00:00:00"/>
    <n v="2"/>
    <x v="2"/>
    <s v="Paul Knutson"/>
    <x v="2"/>
    <s v="United States"/>
    <s v="Philadelphia"/>
    <s v="Pennsylvania"/>
    <x v="3"/>
    <x v="2"/>
    <x v="7"/>
    <s v="Cisco SPA301"/>
    <n v="280.77999999999997"/>
    <n v="3"/>
    <n v="0.4"/>
    <n v="-46.8"/>
  </r>
  <r>
    <x v="324"/>
    <x v="1"/>
    <x v="2"/>
    <s v="20-10-2012"/>
    <n v="1"/>
    <x v="2"/>
    <s v="Tracy Blumstein"/>
    <x v="0"/>
    <s v="United States"/>
    <s v="Concord"/>
    <s v="New Hampshire"/>
    <x v="3"/>
    <x v="1"/>
    <x v="10"/>
    <s v="Southworth 100% Cotton The Best Paper"/>
    <n v="34.44"/>
    <n v="3"/>
    <n v="0"/>
    <n v="17.22"/>
  </r>
  <r>
    <x v="325"/>
    <x v="2"/>
    <x v="4"/>
    <s v="15-12-2011"/>
    <n v="5"/>
    <x v="1"/>
    <s v="Sally Matthias"/>
    <x v="0"/>
    <s v="United States"/>
    <s v="New York City"/>
    <s v="New York"/>
    <x v="3"/>
    <x v="1"/>
    <x v="10"/>
    <s v="Adams Write n' Stick Phone Message Book, 11&quot; X 5 1/4&quot;, 200 Messages"/>
    <n v="11.36"/>
    <n v="2"/>
    <n v="0"/>
    <n v="5.23"/>
  </r>
  <r>
    <x v="325"/>
    <x v="2"/>
    <x v="4"/>
    <s v="15-12-2011"/>
    <n v="5"/>
    <x v="1"/>
    <s v="Sally Matthias"/>
    <x v="0"/>
    <s v="United States"/>
    <s v="New York City"/>
    <s v="New York"/>
    <x v="3"/>
    <x v="1"/>
    <x v="8"/>
    <s v="Poly Designer Cover &amp; Back"/>
    <n v="106.34"/>
    <n v="7"/>
    <n v="0.2"/>
    <n v="37.22"/>
  </r>
  <r>
    <x v="326"/>
    <x v="3"/>
    <x v="6"/>
    <s v="30-08-2014"/>
    <n v="4"/>
    <x v="1"/>
    <s v="Guy Armstrong"/>
    <x v="0"/>
    <s v="United States"/>
    <s v="Charlotte"/>
    <s v="North Carolina"/>
    <x v="0"/>
    <x v="1"/>
    <x v="10"/>
    <s v="Xerox 1910"/>
    <n v="192.16"/>
    <n v="5"/>
    <n v="0.2"/>
    <n v="67.260000000000005"/>
  </r>
  <r>
    <x v="327"/>
    <x v="0"/>
    <x v="9"/>
    <s v="21-01-2013"/>
    <n v="4"/>
    <x v="1"/>
    <s v="Chuck Clark"/>
    <x v="2"/>
    <s v="United States"/>
    <s v="Concord"/>
    <s v="New Hampshire"/>
    <x v="3"/>
    <x v="0"/>
    <x v="5"/>
    <s v="Tenex Contemporary Contur Chairmats for Low and Medium Pile Carpet, Computer, 39&quot; x 49&quot;"/>
    <n v="322.58999999999997"/>
    <n v="3"/>
    <n v="0"/>
    <n v="64.52"/>
  </r>
  <r>
    <x v="327"/>
    <x v="0"/>
    <x v="9"/>
    <s v="21-01-2013"/>
    <n v="4"/>
    <x v="1"/>
    <s v="Chuck Clark"/>
    <x v="2"/>
    <s v="United States"/>
    <s v="Concord"/>
    <s v="New Hampshire"/>
    <x v="3"/>
    <x v="2"/>
    <x v="11"/>
    <s v="Logitech 910-002974 M325 Wireless Mouse for Web Scrolling"/>
    <n v="29.99"/>
    <n v="1"/>
    <n v="0"/>
    <n v="13.2"/>
  </r>
  <r>
    <x v="327"/>
    <x v="0"/>
    <x v="9"/>
    <s v="21-01-2013"/>
    <n v="4"/>
    <x v="1"/>
    <s v="Chuck Clark"/>
    <x v="2"/>
    <s v="United States"/>
    <s v="Concord"/>
    <s v="New Hampshire"/>
    <x v="3"/>
    <x v="2"/>
    <x v="11"/>
    <s v="Logitech G19 Programmable Gaming Keyboard"/>
    <n v="371.97"/>
    <n v="3"/>
    <n v="0"/>
    <n v="66.95"/>
  </r>
  <r>
    <x v="328"/>
    <x v="2"/>
    <x v="8"/>
    <s v="21-09-2011"/>
    <n v="4"/>
    <x v="1"/>
    <s v="Anthony Garverick"/>
    <x v="2"/>
    <s v="United States"/>
    <s v="Philadelphia"/>
    <s v="Pennsylvania"/>
    <x v="3"/>
    <x v="1"/>
    <x v="8"/>
    <s v="Acco Pressboard Covers with Storage Hooks, 14 7/8&quot; x 11&quot;, Light Blue"/>
    <n v="5.89"/>
    <n v="4"/>
    <n v="0.7"/>
    <n v="-4.12"/>
  </r>
  <r>
    <x v="329"/>
    <x v="3"/>
    <x v="4"/>
    <d v="2014-03-12T00:00:00"/>
    <n v="2"/>
    <x v="0"/>
    <s v="Harold Pawlan"/>
    <x v="2"/>
    <s v="United States"/>
    <s v="New York City"/>
    <s v="New York"/>
    <x v="3"/>
    <x v="1"/>
    <x v="8"/>
    <s v="Lock-Up Easel 'Spel-Binder'"/>
    <n v="68.47"/>
    <n v="3"/>
    <n v="0.2"/>
    <n v="23.11"/>
  </r>
  <r>
    <x v="329"/>
    <x v="3"/>
    <x v="4"/>
    <d v="2014-03-12T00:00:00"/>
    <n v="2"/>
    <x v="0"/>
    <s v="Harold Pawlan"/>
    <x v="2"/>
    <s v="United States"/>
    <s v="New York City"/>
    <s v="New York"/>
    <x v="3"/>
    <x v="0"/>
    <x v="1"/>
    <s v="SAFCO Arco Folding Chair"/>
    <n v="1242.9000000000001"/>
    <n v="5"/>
    <n v="0.1"/>
    <n v="262.39"/>
  </r>
  <r>
    <x v="330"/>
    <x v="1"/>
    <x v="2"/>
    <s v="13-10-2012"/>
    <n v="4"/>
    <x v="1"/>
    <s v="Dave Kipp"/>
    <x v="0"/>
    <s v="United States"/>
    <s v="Springfield"/>
    <s v="Virginia"/>
    <x v="0"/>
    <x v="1"/>
    <x v="4"/>
    <s v="Decoflex Hanging Personal Folder File, Blue"/>
    <n v="30.84"/>
    <n v="2"/>
    <n v="0"/>
    <n v="8.33"/>
  </r>
  <r>
    <x v="331"/>
    <x v="3"/>
    <x v="4"/>
    <s v="24-12-2014"/>
    <n v="0"/>
    <x v="3"/>
    <s v="Gary Zandusky"/>
    <x v="0"/>
    <s v="United States"/>
    <s v="San Francisco"/>
    <s v="California"/>
    <x v="1"/>
    <x v="1"/>
    <x v="6"/>
    <s v="Binney &amp; Smith Crayola Metallic Crayons, 16-Color Pack"/>
    <n v="13.48"/>
    <n v="4"/>
    <n v="0"/>
    <n v="5.93"/>
  </r>
  <r>
    <x v="332"/>
    <x v="0"/>
    <x v="2"/>
    <s v="25-10-2013"/>
    <n v="2"/>
    <x v="2"/>
    <s v="Peter McVee"/>
    <x v="2"/>
    <s v="United States"/>
    <s v="Detroit"/>
    <s v="Michigan"/>
    <x v="2"/>
    <x v="0"/>
    <x v="5"/>
    <s v="Eldon 200 Class Desk Accessories"/>
    <n v="31.4"/>
    <n v="5"/>
    <n v="0"/>
    <n v="10.050000000000001"/>
  </r>
  <r>
    <x v="333"/>
    <x v="2"/>
    <x v="3"/>
    <d v="2011-04-05T00:00:00"/>
    <n v="5"/>
    <x v="1"/>
    <s v="Lauren Leatherbury"/>
    <x v="0"/>
    <s v="United States"/>
    <s v="Rochester"/>
    <s v="New York"/>
    <x v="3"/>
    <x v="0"/>
    <x v="5"/>
    <s v="Dax Clear Box Frame"/>
    <n v="17.46"/>
    <n v="2"/>
    <n v="0"/>
    <n v="5.94"/>
  </r>
  <r>
    <x v="334"/>
    <x v="1"/>
    <x v="3"/>
    <s v="28-04-2012"/>
    <n v="3"/>
    <x v="0"/>
    <s v="Jill Stevenson"/>
    <x v="1"/>
    <s v="United States"/>
    <s v="Los Angeles"/>
    <s v="California"/>
    <x v="1"/>
    <x v="1"/>
    <x v="8"/>
    <s v="Fellowes Black Plastic Comb Bindings"/>
    <n v="13.94"/>
    <n v="3"/>
    <n v="0.2"/>
    <n v="4.53"/>
  </r>
  <r>
    <x v="335"/>
    <x v="3"/>
    <x v="1"/>
    <d v="2014-03-07T00:00:00"/>
    <n v="6"/>
    <x v="1"/>
    <s v="Olvera Toch"/>
    <x v="0"/>
    <s v="United States"/>
    <s v="San Diego"/>
    <s v="California"/>
    <x v="1"/>
    <x v="1"/>
    <x v="4"/>
    <s v="Eldon Shelf Savers Cubes and Bins"/>
    <n v="83.76"/>
    <n v="12"/>
    <n v="0"/>
    <n v="1.68"/>
  </r>
  <r>
    <x v="336"/>
    <x v="3"/>
    <x v="2"/>
    <s v="20-10-2014"/>
    <n v="5"/>
    <x v="1"/>
    <s v="Ed Ludwig"/>
    <x v="2"/>
    <s v="United States"/>
    <s v="Columbia"/>
    <s v="Maryland"/>
    <x v="3"/>
    <x v="1"/>
    <x v="8"/>
    <s v="Acco PRESSTEX Data Binder with Storage Hooks, Dark Blue, 14 7/8&quot; X 11&quot;"/>
    <n v="37.659999999999997"/>
    <n v="7"/>
    <n v="0"/>
    <n v="18.45"/>
  </r>
  <r>
    <x v="337"/>
    <x v="2"/>
    <x v="4"/>
    <s v="16-12-2011"/>
    <n v="7"/>
    <x v="1"/>
    <s v="Cyma Kinney"/>
    <x v="1"/>
    <s v="United States"/>
    <s v="San Francisco"/>
    <s v="California"/>
    <x v="1"/>
    <x v="1"/>
    <x v="10"/>
    <s v="Xerox 1987"/>
    <n v="34.68"/>
    <n v="6"/>
    <n v="0"/>
    <n v="16.989999999999998"/>
  </r>
  <r>
    <x v="308"/>
    <x v="3"/>
    <x v="1"/>
    <s v="27-06-2014"/>
    <n v="6"/>
    <x v="1"/>
    <s v="Jeremy Ellison"/>
    <x v="0"/>
    <s v="United States"/>
    <s v="New Rochelle"/>
    <s v="New York"/>
    <x v="3"/>
    <x v="2"/>
    <x v="11"/>
    <s v="Anker Ultrathin Bluetooth Wireless Keyboard Aluminum Cover with Stand "/>
    <n v="149.94999999999999"/>
    <n v="5"/>
    <n v="0"/>
    <n v="15"/>
  </r>
  <r>
    <x v="308"/>
    <x v="3"/>
    <x v="1"/>
    <s v="27-06-2014"/>
    <n v="6"/>
    <x v="1"/>
    <s v="Jeremy Ellison"/>
    <x v="0"/>
    <s v="United States"/>
    <s v="New Rochelle"/>
    <s v="New York"/>
    <x v="3"/>
    <x v="1"/>
    <x v="8"/>
    <s v="Acco D-Ring Binder w/DublLock"/>
    <n v="51.31"/>
    <n v="3"/>
    <n v="0.2"/>
    <n v="18.600000000000001"/>
  </r>
  <r>
    <x v="335"/>
    <x v="3"/>
    <x v="1"/>
    <s v="28-06-2014"/>
    <n v="1"/>
    <x v="2"/>
    <s v="Tracy Hopkins"/>
    <x v="2"/>
    <s v="United States"/>
    <s v="Detroit"/>
    <s v="Michigan"/>
    <x v="2"/>
    <x v="1"/>
    <x v="10"/>
    <s v="Ampad Poly Cover Wirebound Steno Book, 6&quot; x 9&quot; Assorted Colors, Gregg Ruled"/>
    <n v="4.54"/>
    <n v="1"/>
    <n v="0"/>
    <n v="2.04"/>
  </r>
  <r>
    <x v="335"/>
    <x v="3"/>
    <x v="1"/>
    <s v="28-06-2014"/>
    <n v="1"/>
    <x v="2"/>
    <s v="Tracy Hopkins"/>
    <x v="2"/>
    <s v="United States"/>
    <s v="Detroit"/>
    <s v="Michigan"/>
    <x v="2"/>
    <x v="1"/>
    <x v="6"/>
    <s v="Fluorescent Highlighters by Dixon"/>
    <n v="15.92"/>
    <n v="4"/>
    <n v="0"/>
    <n v="5.41"/>
  </r>
  <r>
    <x v="335"/>
    <x v="3"/>
    <x v="1"/>
    <s v="28-06-2014"/>
    <n v="1"/>
    <x v="2"/>
    <s v="Tracy Hopkins"/>
    <x v="2"/>
    <s v="United States"/>
    <s v="Detroit"/>
    <s v="Michigan"/>
    <x v="2"/>
    <x v="2"/>
    <x v="7"/>
    <s v="Nortel Networks T7316 E Nt8 B27"/>
    <n v="543.91999999999996"/>
    <n v="8"/>
    <n v="0"/>
    <n v="135.97999999999999"/>
  </r>
  <r>
    <x v="338"/>
    <x v="0"/>
    <x v="0"/>
    <s v="13-11-2013"/>
    <n v="2"/>
    <x v="2"/>
    <s v="Pamela Coakley"/>
    <x v="1"/>
    <s v="United States"/>
    <s v="San Francisco"/>
    <s v="California"/>
    <x v="1"/>
    <x v="1"/>
    <x v="4"/>
    <s v="File Shuttle I and Handi-File"/>
    <n v="155.82"/>
    <n v="7"/>
    <n v="0"/>
    <n v="42.07"/>
  </r>
  <r>
    <x v="338"/>
    <x v="0"/>
    <x v="0"/>
    <s v="13-11-2013"/>
    <n v="2"/>
    <x v="2"/>
    <s v="Pamela Coakley"/>
    <x v="1"/>
    <s v="United States"/>
    <s v="San Francisco"/>
    <s v="California"/>
    <x v="1"/>
    <x v="1"/>
    <x v="8"/>
    <s v="Binding Machine Supplies"/>
    <n v="70.010000000000005"/>
    <n v="3"/>
    <n v="0.2"/>
    <n v="24.5"/>
  </r>
  <r>
    <x v="339"/>
    <x v="0"/>
    <x v="2"/>
    <d v="2013-07-10T00:00:00"/>
    <n v="3"/>
    <x v="0"/>
    <s v="Hunter Lopez"/>
    <x v="0"/>
    <s v="United States"/>
    <s v="Houston"/>
    <s v="Texas"/>
    <x v="2"/>
    <x v="1"/>
    <x v="12"/>
    <s v="Staples"/>
    <n v="15.65"/>
    <n v="2"/>
    <n v="0.2"/>
    <n v="5.09"/>
  </r>
  <r>
    <x v="340"/>
    <x v="2"/>
    <x v="8"/>
    <s v="15-09-2011"/>
    <n v="6"/>
    <x v="1"/>
    <s v="Maribeth Schnelling"/>
    <x v="0"/>
    <s v="United States"/>
    <s v="Detroit"/>
    <s v="Michigan"/>
    <x v="2"/>
    <x v="1"/>
    <x v="2"/>
    <s v="Alphabetical Labels for Top Tab Filing"/>
    <n v="103.6"/>
    <n v="7"/>
    <n v="0"/>
    <n v="51.8"/>
  </r>
  <r>
    <x v="341"/>
    <x v="3"/>
    <x v="2"/>
    <d v="2014-01-11T00:00:00"/>
    <n v="2"/>
    <x v="0"/>
    <s v="George Bell"/>
    <x v="1"/>
    <s v="United States"/>
    <s v="Auburn"/>
    <s v="New York"/>
    <x v="3"/>
    <x v="1"/>
    <x v="10"/>
    <s v="Things To Do Today Pad"/>
    <n v="46.96"/>
    <n v="8"/>
    <n v="0"/>
    <n v="22.54"/>
  </r>
  <r>
    <x v="342"/>
    <x v="0"/>
    <x v="3"/>
    <s v="13-04-2013"/>
    <n v="2"/>
    <x v="2"/>
    <s v="Justin Ritter"/>
    <x v="1"/>
    <s v="United States"/>
    <s v="Springfield"/>
    <s v="Ohio"/>
    <x v="3"/>
    <x v="1"/>
    <x v="8"/>
    <s v="Wilson Jones Hanging Recycled Pressboard Data Binders"/>
    <n v="8.9"/>
    <n v="2"/>
    <n v="0.7"/>
    <n v="-6.53"/>
  </r>
  <r>
    <x v="343"/>
    <x v="3"/>
    <x v="0"/>
    <s v="14-11-2014"/>
    <n v="2"/>
    <x v="2"/>
    <s v="Tamara Dahlen"/>
    <x v="0"/>
    <s v="United States"/>
    <s v="Garland"/>
    <s v="Texas"/>
    <x v="2"/>
    <x v="1"/>
    <x v="2"/>
    <s v="Permanent Self-Adhesive File Folder Labels for Typewriters by Universal"/>
    <n v="10.44"/>
    <n v="5"/>
    <n v="0.2"/>
    <n v="3.39"/>
  </r>
  <r>
    <x v="343"/>
    <x v="3"/>
    <x v="0"/>
    <s v="14-11-2014"/>
    <n v="2"/>
    <x v="2"/>
    <s v="Tamara Dahlen"/>
    <x v="0"/>
    <s v="United States"/>
    <s v="Garland"/>
    <s v="Texas"/>
    <x v="2"/>
    <x v="1"/>
    <x v="8"/>
    <s v="Deluxe Heavy-Duty Vinyl Round Ring Binder"/>
    <n v="18.34"/>
    <n v="4"/>
    <n v="0.8"/>
    <n v="-32.090000000000003"/>
  </r>
  <r>
    <x v="175"/>
    <x v="3"/>
    <x v="8"/>
    <s v="18-09-2014"/>
    <n v="2"/>
    <x v="2"/>
    <s v="Dave Brooks"/>
    <x v="0"/>
    <s v="United States"/>
    <s v="Chicago"/>
    <s v="Illinois"/>
    <x v="2"/>
    <x v="2"/>
    <x v="7"/>
    <s v="Avaya 5420 Digital phone"/>
    <n v="323.98"/>
    <n v="3"/>
    <n v="0.2"/>
    <n v="20.25"/>
  </r>
  <r>
    <x v="143"/>
    <x v="0"/>
    <x v="3"/>
    <s v="13-04-2013"/>
    <n v="4"/>
    <x v="1"/>
    <s v="Logan Currie"/>
    <x v="0"/>
    <s v="United States"/>
    <s v="Los Angeles"/>
    <s v="California"/>
    <x v="1"/>
    <x v="1"/>
    <x v="10"/>
    <s v="Xerox 1923"/>
    <n v="20.04"/>
    <n v="3"/>
    <n v="0"/>
    <n v="9.6199999999999992"/>
  </r>
  <r>
    <x v="143"/>
    <x v="0"/>
    <x v="3"/>
    <s v="13-04-2013"/>
    <n v="4"/>
    <x v="1"/>
    <s v="Logan Currie"/>
    <x v="0"/>
    <s v="United States"/>
    <s v="Los Angeles"/>
    <s v="California"/>
    <x v="1"/>
    <x v="1"/>
    <x v="4"/>
    <s v="Fellowes Neat Ideas Storage Cubes"/>
    <n v="64.959999999999994"/>
    <n v="2"/>
    <n v="0"/>
    <n v="2.6"/>
  </r>
  <r>
    <x v="143"/>
    <x v="0"/>
    <x v="3"/>
    <s v="13-04-2013"/>
    <n v="4"/>
    <x v="1"/>
    <s v="Logan Currie"/>
    <x v="0"/>
    <s v="United States"/>
    <s v="Los Angeles"/>
    <s v="California"/>
    <x v="1"/>
    <x v="1"/>
    <x v="10"/>
    <s v="Xerox 1931"/>
    <n v="12.96"/>
    <n v="2"/>
    <n v="0"/>
    <n v="6.22"/>
  </r>
  <r>
    <x v="247"/>
    <x v="3"/>
    <x v="4"/>
    <d v="2015-04-01T00:00:00"/>
    <n v="4"/>
    <x v="1"/>
    <s v="Patrick O'Donnell"/>
    <x v="0"/>
    <s v="United States"/>
    <s v="New York City"/>
    <s v="New York"/>
    <x v="3"/>
    <x v="0"/>
    <x v="0"/>
    <s v="Bush Westfield Collection Bookcases, Fully Assembled"/>
    <n v="323.14"/>
    <n v="4"/>
    <n v="0.2"/>
    <n v="12.12"/>
  </r>
  <r>
    <x v="247"/>
    <x v="3"/>
    <x v="4"/>
    <d v="2015-04-01T00:00:00"/>
    <n v="4"/>
    <x v="1"/>
    <s v="Patrick O'Donnell"/>
    <x v="0"/>
    <s v="United States"/>
    <s v="New York City"/>
    <s v="New York"/>
    <x v="3"/>
    <x v="2"/>
    <x v="7"/>
    <s v="Gear Head AU3700S Headset"/>
    <n v="90.93"/>
    <n v="7"/>
    <n v="0"/>
    <n v="2.73"/>
  </r>
  <r>
    <x v="247"/>
    <x v="3"/>
    <x v="4"/>
    <d v="2015-04-01T00:00:00"/>
    <n v="4"/>
    <x v="1"/>
    <s v="Patrick O'Donnell"/>
    <x v="0"/>
    <s v="United States"/>
    <s v="New York City"/>
    <s v="New York"/>
    <x v="3"/>
    <x v="1"/>
    <x v="8"/>
    <s v="Wilson Jones Legal Size Ring Binders"/>
    <n v="52.78"/>
    <n v="3"/>
    <n v="0.2"/>
    <n v="19.79"/>
  </r>
  <r>
    <x v="264"/>
    <x v="3"/>
    <x v="8"/>
    <d v="2014-08-09T00:00:00"/>
    <n v="5"/>
    <x v="1"/>
    <s v="Bill Eplett"/>
    <x v="2"/>
    <s v="United States"/>
    <s v="Jackson"/>
    <s v="Michigan"/>
    <x v="2"/>
    <x v="2"/>
    <x v="7"/>
    <s v="Polycom CX600 IP Phone VoIP phone"/>
    <n v="1199.8"/>
    <n v="4"/>
    <n v="0"/>
    <n v="323.95"/>
  </r>
  <r>
    <x v="264"/>
    <x v="3"/>
    <x v="8"/>
    <d v="2014-08-09T00:00:00"/>
    <n v="5"/>
    <x v="1"/>
    <s v="Bill Eplett"/>
    <x v="2"/>
    <s v="United States"/>
    <s v="Jackson"/>
    <s v="Michigan"/>
    <x v="2"/>
    <x v="2"/>
    <x v="11"/>
    <s v="Maxell iVDR EX 500GB Cartridge"/>
    <n v="1928.78"/>
    <n v="7"/>
    <n v="0"/>
    <n v="829.38"/>
  </r>
  <r>
    <x v="264"/>
    <x v="3"/>
    <x v="8"/>
    <d v="2014-08-09T00:00:00"/>
    <n v="5"/>
    <x v="1"/>
    <s v="Bill Eplett"/>
    <x v="2"/>
    <s v="United States"/>
    <s v="Jackson"/>
    <s v="Michigan"/>
    <x v="2"/>
    <x v="1"/>
    <x v="4"/>
    <s v="Fellowes High-Stak Drawer Files"/>
    <n v="352.38"/>
    <n v="2"/>
    <n v="0"/>
    <n v="81.05"/>
  </r>
  <r>
    <x v="70"/>
    <x v="1"/>
    <x v="5"/>
    <d v="2012-07-06T00:00:00"/>
    <n v="7"/>
    <x v="1"/>
    <s v="Sample Company A"/>
    <x v="2"/>
    <s v="United States"/>
    <s v="Norwich"/>
    <s v="Connecticut"/>
    <x v="3"/>
    <x v="0"/>
    <x v="5"/>
    <s v="3M Hangers With Command Adhesive"/>
    <n v="22.2"/>
    <n v="6"/>
    <n v="0"/>
    <n v="9.1"/>
  </r>
  <r>
    <x v="344"/>
    <x v="3"/>
    <x v="0"/>
    <s v="30-11-2014"/>
    <n v="2"/>
    <x v="2"/>
    <s v="Brian Moss"/>
    <x v="1"/>
    <s v="United States"/>
    <s v="Milwaukee"/>
    <s v="Wisconsin"/>
    <x v="2"/>
    <x v="0"/>
    <x v="5"/>
    <s v="Howard Miller 13&quot; Diameter Goldtone Round Wall Clock"/>
    <n v="46.94"/>
    <n v="1"/>
    <n v="0"/>
    <n v="19.25"/>
  </r>
  <r>
    <x v="344"/>
    <x v="3"/>
    <x v="0"/>
    <s v="30-11-2014"/>
    <n v="2"/>
    <x v="2"/>
    <s v="Brian Moss"/>
    <x v="1"/>
    <s v="United States"/>
    <s v="Milwaukee"/>
    <s v="Wisconsin"/>
    <x v="2"/>
    <x v="2"/>
    <x v="11"/>
    <s v="Memorex Mini Travel Drive 16 GB USB 2.0 Flash Drive"/>
    <n v="143.72999999999999"/>
    <n v="9"/>
    <n v="0"/>
    <n v="56.05"/>
  </r>
  <r>
    <x v="345"/>
    <x v="2"/>
    <x v="1"/>
    <s v="21-06-2011"/>
    <n v="6"/>
    <x v="1"/>
    <s v="Kelly Lampkin"/>
    <x v="1"/>
    <s v="United States"/>
    <s v="San Antonio"/>
    <s v="Texas"/>
    <x v="2"/>
    <x v="0"/>
    <x v="3"/>
    <s v="Lesro Sheffield Collection Coffee Table, End Table, Center Table, Corner Table"/>
    <n v="99.92"/>
    <n v="2"/>
    <n v="0.3"/>
    <n v="-18.559999999999999"/>
  </r>
  <r>
    <x v="345"/>
    <x v="2"/>
    <x v="1"/>
    <s v="21-06-2011"/>
    <n v="6"/>
    <x v="1"/>
    <s v="Kelly Lampkin"/>
    <x v="1"/>
    <s v="United States"/>
    <s v="San Antonio"/>
    <s v="Texas"/>
    <x v="2"/>
    <x v="0"/>
    <x v="1"/>
    <s v="Global Commerce Series High-Back Swivel/Tilt Chairs"/>
    <n v="797.94"/>
    <n v="4"/>
    <n v="0.3"/>
    <n v="-57"/>
  </r>
  <r>
    <x v="345"/>
    <x v="2"/>
    <x v="1"/>
    <s v="21-06-2011"/>
    <n v="6"/>
    <x v="1"/>
    <s v="Kelly Lampkin"/>
    <x v="1"/>
    <s v="United States"/>
    <s v="San Antonio"/>
    <s v="Texas"/>
    <x v="2"/>
    <x v="1"/>
    <x v="8"/>
    <s v="Avery Premier Heavy-Duty Binder with Round Locking Rings"/>
    <n v="8.57"/>
    <n v="3"/>
    <n v="0.8"/>
    <n v="-14.57"/>
  </r>
  <r>
    <x v="346"/>
    <x v="0"/>
    <x v="10"/>
    <d v="2013-12-03T00:00:00"/>
    <n v="6"/>
    <x v="1"/>
    <s v="Rob Williams"/>
    <x v="1"/>
    <s v="United States"/>
    <s v="Dallas"/>
    <s v="Texas"/>
    <x v="2"/>
    <x v="1"/>
    <x v="12"/>
    <s v="Cameo Buff Policy Envelopes"/>
    <n v="149.35"/>
    <n v="3"/>
    <n v="0.2"/>
    <n v="50.41"/>
  </r>
  <r>
    <x v="346"/>
    <x v="0"/>
    <x v="10"/>
    <d v="2013-12-03T00:00:00"/>
    <n v="6"/>
    <x v="1"/>
    <s v="Rob Williams"/>
    <x v="1"/>
    <s v="United States"/>
    <s v="Dallas"/>
    <s v="Texas"/>
    <x v="2"/>
    <x v="1"/>
    <x v="4"/>
    <s v="Acco Perma 4000 Stacking Storage Drawers"/>
    <n v="12.99"/>
    <n v="1"/>
    <n v="0.2"/>
    <n v="-0.81"/>
  </r>
  <r>
    <x v="29"/>
    <x v="2"/>
    <x v="4"/>
    <d v="2011-12-12T00:00:00"/>
    <n v="7"/>
    <x v="1"/>
    <s v="Roy Collins"/>
    <x v="0"/>
    <s v="United States"/>
    <s v="Alexandria"/>
    <s v="Virginia"/>
    <x v="0"/>
    <x v="1"/>
    <x v="4"/>
    <s v="Recycled Eldon Regeneration Jumbo File"/>
    <n v="24.56"/>
    <n v="2"/>
    <n v="0"/>
    <n v="6.88"/>
  </r>
  <r>
    <x v="347"/>
    <x v="1"/>
    <x v="3"/>
    <s v="15-04-2012"/>
    <n v="4"/>
    <x v="1"/>
    <s v="Sanjit Engle"/>
    <x v="0"/>
    <s v="United States"/>
    <s v="New York City"/>
    <s v="New York"/>
    <x v="3"/>
    <x v="2"/>
    <x v="11"/>
    <s v="Maxell 4.7GB DVD-R"/>
    <n v="85.14"/>
    <n v="3"/>
    <n v="0"/>
    <n v="34.909999999999997"/>
  </r>
  <r>
    <x v="347"/>
    <x v="1"/>
    <x v="3"/>
    <s v="15-04-2012"/>
    <n v="4"/>
    <x v="1"/>
    <s v="Sanjit Engle"/>
    <x v="0"/>
    <s v="United States"/>
    <s v="New York City"/>
    <s v="New York"/>
    <x v="3"/>
    <x v="2"/>
    <x v="7"/>
    <s v="OtterBox Commuter Series Case - iPhone 5 &amp; 5s"/>
    <n v="21.99"/>
    <n v="1"/>
    <n v="0"/>
    <n v="10.56"/>
  </r>
  <r>
    <x v="347"/>
    <x v="1"/>
    <x v="3"/>
    <s v="15-04-2012"/>
    <n v="4"/>
    <x v="1"/>
    <s v="Sanjit Engle"/>
    <x v="0"/>
    <s v="United States"/>
    <s v="New York City"/>
    <s v="New York"/>
    <x v="3"/>
    <x v="1"/>
    <x v="9"/>
    <s v="Kensington 4 Outlet MasterPiece Compact Power Control Center"/>
    <n v="406.6"/>
    <n v="5"/>
    <n v="0"/>
    <n v="113.85"/>
  </r>
  <r>
    <x v="306"/>
    <x v="0"/>
    <x v="8"/>
    <s v="21-09-2013"/>
    <n v="5"/>
    <x v="1"/>
    <s v="Adam Hart"/>
    <x v="1"/>
    <s v="United States"/>
    <s v="New York City"/>
    <s v="New York"/>
    <x v="3"/>
    <x v="1"/>
    <x v="8"/>
    <s v="GBC DocuBind 300 Electric Binding Machine"/>
    <n v="841.57"/>
    <n v="2"/>
    <n v="0.2"/>
    <n v="294.55"/>
  </r>
  <r>
    <x v="103"/>
    <x v="2"/>
    <x v="8"/>
    <s v="16-09-2011"/>
    <n v="3"/>
    <x v="2"/>
    <s v="Jessica Myrick"/>
    <x v="0"/>
    <s v="United States"/>
    <s v="Philadelphia"/>
    <s v="Pennsylvania"/>
    <x v="3"/>
    <x v="1"/>
    <x v="10"/>
    <s v="Xerox 1985"/>
    <n v="15.55"/>
    <n v="3"/>
    <n v="0.2"/>
    <n v="5.44"/>
  </r>
  <r>
    <x v="103"/>
    <x v="2"/>
    <x v="8"/>
    <s v="16-09-2011"/>
    <n v="3"/>
    <x v="2"/>
    <s v="Jessica Myrick"/>
    <x v="0"/>
    <s v="United States"/>
    <s v="Philadelphia"/>
    <s v="Pennsylvania"/>
    <x v="3"/>
    <x v="2"/>
    <x v="11"/>
    <s v="Hypercom P1300 Pinpad"/>
    <n v="252"/>
    <n v="5"/>
    <n v="0.2"/>
    <n v="53.55"/>
  </r>
  <r>
    <x v="348"/>
    <x v="1"/>
    <x v="2"/>
    <d v="2012-09-10T00:00:00"/>
    <n v="4"/>
    <x v="1"/>
    <s v="Joel Jenkins"/>
    <x v="2"/>
    <s v="United States"/>
    <s v="Springfield"/>
    <s v="Virginia"/>
    <x v="0"/>
    <x v="1"/>
    <x v="6"/>
    <s v="Newell 324"/>
    <n v="46.2"/>
    <n v="4"/>
    <n v="0"/>
    <n v="12.94"/>
  </r>
  <r>
    <x v="348"/>
    <x v="1"/>
    <x v="2"/>
    <d v="2012-09-10T00:00:00"/>
    <n v="4"/>
    <x v="1"/>
    <s v="Joel Jenkins"/>
    <x v="2"/>
    <s v="United States"/>
    <s v="Springfield"/>
    <s v="Virginia"/>
    <x v="0"/>
    <x v="1"/>
    <x v="9"/>
    <s v="Holmes Odor Grabber"/>
    <n v="28.84"/>
    <n v="2"/>
    <n v="0"/>
    <n v="9.52"/>
  </r>
  <r>
    <x v="349"/>
    <x v="3"/>
    <x v="3"/>
    <s v="18-04-2014"/>
    <n v="3"/>
    <x v="2"/>
    <s v="Alan Barnes"/>
    <x v="0"/>
    <s v="United States"/>
    <s v="Toledo"/>
    <s v="Ohio"/>
    <x v="3"/>
    <x v="1"/>
    <x v="6"/>
    <s v="Zebra Zazzle Fluorescent Highlighters"/>
    <n v="14.59"/>
    <n v="3"/>
    <n v="0.2"/>
    <n v="2.5499999999999998"/>
  </r>
  <r>
    <x v="349"/>
    <x v="3"/>
    <x v="3"/>
    <s v="18-04-2014"/>
    <n v="3"/>
    <x v="2"/>
    <s v="Alan Barnes"/>
    <x v="0"/>
    <s v="United States"/>
    <s v="Toledo"/>
    <s v="Ohio"/>
    <x v="3"/>
    <x v="1"/>
    <x v="6"/>
    <s v="Sanford Prismacolor Professional Thick Lead Art Pencils, 36-Color Set"/>
    <n v="89.86"/>
    <n v="3"/>
    <n v="0.2"/>
    <n v="21.34"/>
  </r>
  <r>
    <x v="349"/>
    <x v="3"/>
    <x v="3"/>
    <s v="18-04-2014"/>
    <n v="3"/>
    <x v="2"/>
    <s v="Alan Barnes"/>
    <x v="0"/>
    <s v="United States"/>
    <s v="Toledo"/>
    <s v="Ohio"/>
    <x v="3"/>
    <x v="1"/>
    <x v="10"/>
    <s v="Xerox 196"/>
    <n v="13.87"/>
    <n v="3"/>
    <n v="0.2"/>
    <n v="5.03"/>
  </r>
  <r>
    <x v="264"/>
    <x v="3"/>
    <x v="8"/>
    <d v="2014-07-09T00:00:00"/>
    <n v="4"/>
    <x v="1"/>
    <s v="Ralph Kennedy"/>
    <x v="0"/>
    <s v="United States"/>
    <s v="Philadelphia"/>
    <s v="Pennsylvania"/>
    <x v="3"/>
    <x v="1"/>
    <x v="10"/>
    <s v="RSVP Cards &amp; Envelopes, Blank White, 8-1/2&quot; X 11&quot;, 24 Cards/25 Envelopes/Set"/>
    <n v="12.19"/>
    <n v="3"/>
    <n v="0.2"/>
    <n v="4.1100000000000003"/>
  </r>
  <r>
    <x v="23"/>
    <x v="0"/>
    <x v="1"/>
    <s v="25-06-2013"/>
    <n v="4"/>
    <x v="1"/>
    <s v="Catherine Glotzbach"/>
    <x v="2"/>
    <s v="United States"/>
    <s v="Philadelphia"/>
    <s v="Pennsylvania"/>
    <x v="3"/>
    <x v="1"/>
    <x v="10"/>
    <s v="Wirebound Message Books, 2 7/8&quot; x 5&quot;, 3 Forms per Page"/>
    <n v="45.06"/>
    <n v="8"/>
    <n v="0.2"/>
    <n v="15.21"/>
  </r>
  <r>
    <x v="23"/>
    <x v="0"/>
    <x v="1"/>
    <s v="25-06-2013"/>
    <n v="4"/>
    <x v="1"/>
    <s v="Catherine Glotzbach"/>
    <x v="2"/>
    <s v="United States"/>
    <s v="Philadelphia"/>
    <s v="Pennsylvania"/>
    <x v="3"/>
    <x v="1"/>
    <x v="8"/>
    <s v="JM Magazine Binder"/>
    <n v="29.72"/>
    <n v="6"/>
    <n v="0.7"/>
    <n v="-21.79"/>
  </r>
  <r>
    <x v="23"/>
    <x v="0"/>
    <x v="1"/>
    <s v="25-06-2013"/>
    <n v="4"/>
    <x v="1"/>
    <s v="Catherine Glotzbach"/>
    <x v="2"/>
    <s v="United States"/>
    <s v="Philadelphia"/>
    <s v="Pennsylvania"/>
    <x v="3"/>
    <x v="1"/>
    <x v="10"/>
    <s v="Xerox 202"/>
    <n v="15.55"/>
    <n v="3"/>
    <n v="0.2"/>
    <n v="5.44"/>
  </r>
  <r>
    <x v="23"/>
    <x v="0"/>
    <x v="1"/>
    <s v="25-06-2013"/>
    <n v="4"/>
    <x v="1"/>
    <s v="Catherine Glotzbach"/>
    <x v="2"/>
    <s v="United States"/>
    <s v="Philadelphia"/>
    <s v="Pennsylvania"/>
    <x v="3"/>
    <x v="1"/>
    <x v="9"/>
    <s v="Sanyo 2.5 Cubic Foot Mid-Size Office Refrigerators"/>
    <n v="447.7"/>
    <n v="2"/>
    <n v="0.2"/>
    <n v="33.58"/>
  </r>
  <r>
    <x v="60"/>
    <x v="3"/>
    <x v="0"/>
    <d v="2014-07-11T00:00:00"/>
    <n v="1"/>
    <x v="2"/>
    <s v="Ruben Ausman"/>
    <x v="1"/>
    <s v="United States"/>
    <s v="Farmington"/>
    <s v="New Mexico"/>
    <x v="1"/>
    <x v="2"/>
    <x v="11"/>
    <s v="NETGEAR AC1750 Dual Band Gigabit Smart WiFi Router"/>
    <n v="159.99"/>
    <n v="1"/>
    <n v="0"/>
    <n v="54.4"/>
  </r>
  <r>
    <x v="350"/>
    <x v="1"/>
    <x v="4"/>
    <s v="17-12-2012"/>
    <n v="4"/>
    <x v="1"/>
    <s v="Rachel Payne"/>
    <x v="1"/>
    <s v="United States"/>
    <s v="Riverside"/>
    <s v="California"/>
    <x v="1"/>
    <x v="1"/>
    <x v="10"/>
    <s v="Xerox 213"/>
    <n v="12.96"/>
    <n v="2"/>
    <n v="0"/>
    <n v="6.22"/>
  </r>
  <r>
    <x v="350"/>
    <x v="1"/>
    <x v="4"/>
    <s v="17-12-2012"/>
    <n v="4"/>
    <x v="1"/>
    <s v="Rachel Payne"/>
    <x v="1"/>
    <s v="United States"/>
    <s v="Riverside"/>
    <s v="California"/>
    <x v="1"/>
    <x v="1"/>
    <x v="9"/>
    <s v="Fellowes 8 Outlet Superior Workstation Surge Protector w/o Phone/Fax/Modem Protection"/>
    <n v="134.47999999999999"/>
    <n v="4"/>
    <n v="0"/>
    <n v="34.96"/>
  </r>
  <r>
    <x v="351"/>
    <x v="0"/>
    <x v="1"/>
    <s v="21-06-2013"/>
    <n v="1"/>
    <x v="2"/>
    <s v="Karen Carlisle"/>
    <x v="1"/>
    <s v="United States"/>
    <s v="San Francisco"/>
    <s v="California"/>
    <x v="1"/>
    <x v="1"/>
    <x v="10"/>
    <s v="Message Book, Standard Line &quot;While You Were Out&quot;, 5 1/2&quot; X 4&quot;, 200 Sets/Book"/>
    <n v="17.12"/>
    <n v="2"/>
    <n v="0"/>
    <n v="8.0500000000000007"/>
  </r>
  <r>
    <x v="180"/>
    <x v="0"/>
    <x v="4"/>
    <s v="21-12-2013"/>
    <n v="7"/>
    <x v="1"/>
    <s v="Rob Williams"/>
    <x v="1"/>
    <s v="United States"/>
    <s v="Torrance"/>
    <s v="California"/>
    <x v="1"/>
    <x v="1"/>
    <x v="8"/>
    <s v="Acco Pressboard Covers with Storage Hooks, 14 7/8&quot; x 11&quot;, Dark Blue"/>
    <n v="6.1"/>
    <n v="2"/>
    <n v="0.2"/>
    <n v="2.21"/>
  </r>
  <r>
    <x v="180"/>
    <x v="0"/>
    <x v="4"/>
    <s v="21-12-2013"/>
    <n v="7"/>
    <x v="1"/>
    <s v="Rob Williams"/>
    <x v="1"/>
    <s v="United States"/>
    <s v="Torrance"/>
    <s v="California"/>
    <x v="1"/>
    <x v="0"/>
    <x v="3"/>
    <s v="Bretford CR4500 Series Slim Rectangular Table"/>
    <n v="1114.27"/>
    <n v="4"/>
    <n v="0.2"/>
    <n v="41.79"/>
  </r>
  <r>
    <x v="352"/>
    <x v="1"/>
    <x v="5"/>
    <d v="2012-03-06T00:00:00"/>
    <n v="5"/>
    <x v="1"/>
    <s v="John Lucas"/>
    <x v="0"/>
    <s v="United States"/>
    <s v="Seattle"/>
    <s v="Washington"/>
    <x v="1"/>
    <x v="1"/>
    <x v="10"/>
    <s v="Xerox 1894"/>
    <n v="32.4"/>
    <n v="5"/>
    <n v="0"/>
    <n v="15.55"/>
  </r>
  <r>
    <x v="352"/>
    <x v="1"/>
    <x v="5"/>
    <d v="2012-03-06T00:00:00"/>
    <n v="5"/>
    <x v="1"/>
    <s v="John Lucas"/>
    <x v="0"/>
    <s v="United States"/>
    <s v="Seattle"/>
    <s v="Washington"/>
    <x v="1"/>
    <x v="1"/>
    <x v="4"/>
    <s v="Standard Rollaway File with Lock"/>
    <n v="540.57000000000005"/>
    <n v="3"/>
    <n v="0"/>
    <n v="140.55000000000001"/>
  </r>
  <r>
    <x v="352"/>
    <x v="1"/>
    <x v="5"/>
    <d v="2012-03-06T00:00:00"/>
    <n v="5"/>
    <x v="1"/>
    <s v="John Lucas"/>
    <x v="0"/>
    <s v="United States"/>
    <s v="Seattle"/>
    <s v="Washington"/>
    <x v="1"/>
    <x v="1"/>
    <x v="8"/>
    <s v="Avery Trapezoid Extra Heavy Duty 4&quot; Binders"/>
    <n v="167.76"/>
    <n v="5"/>
    <n v="0.2"/>
    <n v="62.91"/>
  </r>
  <r>
    <x v="353"/>
    <x v="1"/>
    <x v="7"/>
    <s v="28-07-2012"/>
    <n v="2"/>
    <x v="2"/>
    <s v="Cynthia Arntzen"/>
    <x v="0"/>
    <s v="United States"/>
    <s v="Mesa"/>
    <s v="Arizona"/>
    <x v="1"/>
    <x v="0"/>
    <x v="3"/>
    <s v="Bevis Boat-Shaped Conference Table"/>
    <n v="393.17"/>
    <n v="3"/>
    <n v="0.5"/>
    <n v="-204.45"/>
  </r>
  <r>
    <x v="354"/>
    <x v="3"/>
    <x v="0"/>
    <d v="2014-03-12T00:00:00"/>
    <n v="4"/>
    <x v="1"/>
    <s v="Ross Baird"/>
    <x v="2"/>
    <s v="United States"/>
    <s v="Philadelphia"/>
    <s v="Pennsylvania"/>
    <x v="3"/>
    <x v="0"/>
    <x v="5"/>
    <s v="Deflect-o RollaMat Studded, Beveled Mat for Medium Pile Carpeting"/>
    <n v="516.49"/>
    <n v="7"/>
    <n v="0.2"/>
    <n v="-12.91"/>
  </r>
  <r>
    <x v="354"/>
    <x v="3"/>
    <x v="0"/>
    <d v="2014-03-12T00:00:00"/>
    <n v="4"/>
    <x v="1"/>
    <s v="Ross Baird"/>
    <x v="2"/>
    <s v="United States"/>
    <s v="Philadelphia"/>
    <s v="Pennsylvania"/>
    <x v="3"/>
    <x v="0"/>
    <x v="5"/>
    <s v="Luxo Professional Fluorescent Magnifier Lamp with Clamp-Mount Base"/>
    <n v="1007.23"/>
    <n v="6"/>
    <n v="0.2"/>
    <n v="75.540000000000006"/>
  </r>
  <r>
    <x v="354"/>
    <x v="3"/>
    <x v="0"/>
    <d v="2014-03-12T00:00:00"/>
    <n v="4"/>
    <x v="1"/>
    <s v="Ross Baird"/>
    <x v="2"/>
    <s v="United States"/>
    <s v="Philadelphia"/>
    <s v="Pennsylvania"/>
    <x v="3"/>
    <x v="0"/>
    <x v="3"/>
    <s v="Riverside Furniture Oval Coffee Table, Oval End Table, End Table with Drawer"/>
    <n v="2065.3200000000002"/>
    <n v="12"/>
    <n v="0.4"/>
    <n v="-619.6"/>
  </r>
  <r>
    <x v="354"/>
    <x v="3"/>
    <x v="0"/>
    <d v="2014-03-12T00:00:00"/>
    <n v="4"/>
    <x v="1"/>
    <s v="Ross Baird"/>
    <x v="2"/>
    <s v="United States"/>
    <s v="Philadelphia"/>
    <s v="Pennsylvania"/>
    <x v="3"/>
    <x v="1"/>
    <x v="10"/>
    <s v="Xerox 210"/>
    <n v="15.55"/>
    <n v="3"/>
    <n v="0.2"/>
    <n v="5.44"/>
  </r>
  <r>
    <x v="354"/>
    <x v="3"/>
    <x v="0"/>
    <d v="2014-03-12T00:00:00"/>
    <n v="4"/>
    <x v="1"/>
    <s v="Ross Baird"/>
    <x v="2"/>
    <s v="United States"/>
    <s v="Philadelphia"/>
    <s v="Pennsylvania"/>
    <x v="3"/>
    <x v="1"/>
    <x v="10"/>
    <s v="Xerox 4200 Series MultiUse Premium Copy Paper (20Lb. and 84 Bright)"/>
    <n v="25.34"/>
    <n v="6"/>
    <n v="0.2"/>
    <n v="7.92"/>
  </r>
  <r>
    <x v="355"/>
    <x v="3"/>
    <x v="3"/>
    <d v="2014-08-04T00:00:00"/>
    <n v="4"/>
    <x v="1"/>
    <s v="Katherine Hughes"/>
    <x v="0"/>
    <s v="United States"/>
    <s v="Philadelphia"/>
    <s v="Pennsylvania"/>
    <x v="3"/>
    <x v="0"/>
    <x v="5"/>
    <s v="Staples"/>
    <n v="25.47"/>
    <n v="4"/>
    <n v="0.2"/>
    <n v="7.64"/>
  </r>
  <r>
    <x v="116"/>
    <x v="3"/>
    <x v="4"/>
    <d v="2015-02-01T00:00:00"/>
    <n v="4"/>
    <x v="1"/>
    <s v="Greg Hansen"/>
    <x v="0"/>
    <s v="United States"/>
    <s v="Round Rock"/>
    <s v="Texas"/>
    <x v="2"/>
    <x v="1"/>
    <x v="6"/>
    <s v="Stanley Bostitch Contemporary Electric Pencil Sharpeners"/>
    <n v="27.17"/>
    <n v="2"/>
    <n v="0.2"/>
    <n v="2.72"/>
  </r>
  <r>
    <x v="116"/>
    <x v="3"/>
    <x v="4"/>
    <d v="2015-02-01T00:00:00"/>
    <n v="4"/>
    <x v="1"/>
    <s v="Greg Hansen"/>
    <x v="0"/>
    <s v="United States"/>
    <s v="Round Rock"/>
    <s v="Texas"/>
    <x v="2"/>
    <x v="0"/>
    <x v="0"/>
    <s v="Bush Westfield Collection Bookcases, Medium Cherry Finish"/>
    <n v="78.849999999999994"/>
    <n v="2"/>
    <n v="0.32"/>
    <n v="-11.6"/>
  </r>
  <r>
    <x v="329"/>
    <x v="3"/>
    <x v="4"/>
    <d v="2014-05-12T00:00:00"/>
    <n v="4"/>
    <x v="1"/>
    <s v="Scott Williamson"/>
    <x v="0"/>
    <s v="United States"/>
    <s v="Jackson"/>
    <s v="Mississippi"/>
    <x v="0"/>
    <x v="1"/>
    <x v="4"/>
    <s v="Home/Office Personal File Carts"/>
    <n v="173.8"/>
    <n v="5"/>
    <n v="0"/>
    <n v="43.45"/>
  </r>
  <r>
    <x v="356"/>
    <x v="3"/>
    <x v="5"/>
    <s v="19-05-2014"/>
    <n v="3"/>
    <x v="0"/>
    <s v="Joseph Airdo"/>
    <x v="0"/>
    <s v="United States"/>
    <s v="Phoenix"/>
    <s v="Arizona"/>
    <x v="1"/>
    <x v="2"/>
    <x v="7"/>
    <s v="Logitech B530 USB Headset - headset - Full size, Binaural"/>
    <n v="29.59"/>
    <n v="1"/>
    <n v="0.2"/>
    <n v="2.59"/>
  </r>
  <r>
    <x v="356"/>
    <x v="3"/>
    <x v="5"/>
    <s v="19-05-2014"/>
    <n v="3"/>
    <x v="0"/>
    <s v="Joseph Airdo"/>
    <x v="0"/>
    <s v="United States"/>
    <s v="Phoenix"/>
    <s v="Arizona"/>
    <x v="1"/>
    <x v="1"/>
    <x v="8"/>
    <s v="Avery Durable Slant Ring Binders"/>
    <n v="4.75"/>
    <n v="2"/>
    <n v="0.7"/>
    <n v="-3.17"/>
  </r>
  <r>
    <x v="356"/>
    <x v="3"/>
    <x v="5"/>
    <s v="19-05-2014"/>
    <n v="3"/>
    <x v="0"/>
    <s v="Joseph Airdo"/>
    <x v="0"/>
    <s v="United States"/>
    <s v="Phoenix"/>
    <s v="Arizona"/>
    <x v="1"/>
    <x v="1"/>
    <x v="10"/>
    <s v="Universal Ultra Bright White Copier/Laser Paper, 8 1/2&quot; x 11&quot;, Ream"/>
    <n v="15.55"/>
    <n v="3"/>
    <n v="0.2"/>
    <n v="5.64"/>
  </r>
  <r>
    <x v="357"/>
    <x v="1"/>
    <x v="8"/>
    <s v="22-09-2012"/>
    <n v="0"/>
    <x v="3"/>
    <s v="Daniel Lacy"/>
    <x v="0"/>
    <s v="United States"/>
    <s v="Oceanside"/>
    <s v="California"/>
    <x v="1"/>
    <x v="0"/>
    <x v="5"/>
    <s v="Luxo Professional Combination Clamp-On Lamps"/>
    <n v="204.6"/>
    <n v="2"/>
    <n v="0"/>
    <n v="53.2"/>
  </r>
  <r>
    <x v="237"/>
    <x v="3"/>
    <x v="0"/>
    <s v="20-11-2014"/>
    <n v="5"/>
    <x v="1"/>
    <s v="Lindsay Williams"/>
    <x v="1"/>
    <s v="United States"/>
    <s v="San Francisco"/>
    <s v="California"/>
    <x v="1"/>
    <x v="0"/>
    <x v="1"/>
    <s v="Global Leather Highback Executive Chair with Pneumatic Height Adjustment, Black"/>
    <n v="321.57"/>
    <n v="2"/>
    <n v="0.2"/>
    <n v="28.14"/>
  </r>
  <r>
    <x v="154"/>
    <x v="1"/>
    <x v="0"/>
    <d v="2012-01-12T00:00:00"/>
    <n v="4"/>
    <x v="1"/>
    <s v="Thomas Brumley"/>
    <x v="2"/>
    <s v="United States"/>
    <s v="Fayetteville"/>
    <s v="Arkansas"/>
    <x v="0"/>
    <x v="1"/>
    <x v="8"/>
    <s v="Zipper Ring Binder Pockets"/>
    <n v="6.24"/>
    <n v="2"/>
    <n v="0"/>
    <n v="3.06"/>
  </r>
  <r>
    <x v="142"/>
    <x v="0"/>
    <x v="8"/>
    <d v="2013-05-09T00:00:00"/>
    <n v="3"/>
    <x v="2"/>
    <s v="Cynthia Voltz"/>
    <x v="1"/>
    <s v="United States"/>
    <s v="San Francisco"/>
    <s v="California"/>
    <x v="1"/>
    <x v="1"/>
    <x v="12"/>
    <s v="White Business Envelopes with Contemporary Seam, Recycled White Business Envelopes"/>
    <n v="21.88"/>
    <n v="2"/>
    <n v="0"/>
    <n v="10.94"/>
  </r>
  <r>
    <x v="358"/>
    <x v="2"/>
    <x v="8"/>
    <s v="24-09-2011"/>
    <n v="2"/>
    <x v="0"/>
    <s v="Maribeth Schnelling"/>
    <x v="0"/>
    <s v="United States"/>
    <s v="Boca Raton"/>
    <s v="Florida"/>
    <x v="0"/>
    <x v="1"/>
    <x v="2"/>
    <s v="Avery File Folder Labels"/>
    <n v="4.6100000000000003"/>
    <n v="2"/>
    <n v="0.2"/>
    <n v="1.67"/>
  </r>
  <r>
    <x v="359"/>
    <x v="3"/>
    <x v="3"/>
    <d v="2014-12-04T00:00:00"/>
    <n v="2"/>
    <x v="2"/>
    <s v="Bryan Spruell"/>
    <x v="2"/>
    <s v="United States"/>
    <s v="New York City"/>
    <s v="New York"/>
    <x v="3"/>
    <x v="1"/>
    <x v="2"/>
    <s v="Color-Coded Legal Exhibit Labels"/>
    <n v="9.82"/>
    <n v="2"/>
    <n v="0"/>
    <n v="4.8099999999999996"/>
  </r>
  <r>
    <x v="359"/>
    <x v="3"/>
    <x v="3"/>
    <d v="2014-12-04T00:00:00"/>
    <n v="2"/>
    <x v="2"/>
    <s v="Bryan Spruell"/>
    <x v="2"/>
    <s v="United States"/>
    <s v="New York City"/>
    <s v="New York"/>
    <x v="3"/>
    <x v="1"/>
    <x v="6"/>
    <s v="Bulldog Vacuum Base Pencil Sharpener"/>
    <n v="35.97"/>
    <n v="3"/>
    <n v="0"/>
    <n v="9.7100000000000009"/>
  </r>
  <r>
    <x v="359"/>
    <x v="3"/>
    <x v="3"/>
    <d v="2014-12-04T00:00:00"/>
    <n v="2"/>
    <x v="2"/>
    <s v="Bryan Spruell"/>
    <x v="2"/>
    <s v="United States"/>
    <s v="New York City"/>
    <s v="New York"/>
    <x v="3"/>
    <x v="1"/>
    <x v="10"/>
    <s v="Xerox 212"/>
    <n v="12.96"/>
    <n v="2"/>
    <n v="0"/>
    <n v="6.22"/>
  </r>
  <r>
    <x v="359"/>
    <x v="3"/>
    <x v="3"/>
    <d v="2014-12-04T00:00:00"/>
    <n v="2"/>
    <x v="2"/>
    <s v="Bryan Spruell"/>
    <x v="2"/>
    <s v="United States"/>
    <s v="New York City"/>
    <s v="New York"/>
    <x v="3"/>
    <x v="1"/>
    <x v="10"/>
    <s v="Computer Printout Paper with Letter-Trim Fine Perforations"/>
    <n v="191.6"/>
    <n v="4"/>
    <n v="0"/>
    <n v="91.97"/>
  </r>
  <r>
    <x v="359"/>
    <x v="3"/>
    <x v="3"/>
    <d v="2014-12-04T00:00:00"/>
    <n v="2"/>
    <x v="2"/>
    <s v="Bryan Spruell"/>
    <x v="2"/>
    <s v="United States"/>
    <s v="New York City"/>
    <s v="New York"/>
    <x v="3"/>
    <x v="1"/>
    <x v="2"/>
    <s v="Avery File Folder Labels"/>
    <n v="8.64"/>
    <n v="3"/>
    <n v="0"/>
    <n v="4.2300000000000004"/>
  </r>
  <r>
    <x v="359"/>
    <x v="3"/>
    <x v="3"/>
    <d v="2014-12-04T00:00:00"/>
    <n v="2"/>
    <x v="2"/>
    <s v="Bryan Spruell"/>
    <x v="2"/>
    <s v="United States"/>
    <s v="New York City"/>
    <s v="New York"/>
    <x v="3"/>
    <x v="1"/>
    <x v="4"/>
    <s v="Office Impressions Heavy Duty Welded Shelving &amp; Multimedia Storage Drawers"/>
    <n v="501.81"/>
    <n v="3"/>
    <n v="0"/>
    <n v="0"/>
  </r>
  <r>
    <x v="360"/>
    <x v="2"/>
    <x v="9"/>
    <s v="19-01-2011"/>
    <n v="2"/>
    <x v="0"/>
    <s v="Delfina Latchford"/>
    <x v="0"/>
    <s v="United States"/>
    <s v="Philadelphia"/>
    <s v="Pennsylvania"/>
    <x v="3"/>
    <x v="0"/>
    <x v="5"/>
    <s v="DAX Black Cherry Wood-Tone Poster Frame"/>
    <n v="127.1"/>
    <n v="6"/>
    <n v="0.2"/>
    <n v="28.6"/>
  </r>
  <r>
    <x v="360"/>
    <x v="2"/>
    <x v="9"/>
    <s v="19-01-2011"/>
    <n v="2"/>
    <x v="0"/>
    <s v="Delfina Latchford"/>
    <x v="0"/>
    <s v="United States"/>
    <s v="Philadelphia"/>
    <s v="Pennsylvania"/>
    <x v="3"/>
    <x v="2"/>
    <x v="7"/>
    <s v="AT&amp;T 841000 Phone"/>
    <n v="124.2"/>
    <n v="3"/>
    <n v="0.4"/>
    <n v="-31.05"/>
  </r>
  <r>
    <x v="360"/>
    <x v="2"/>
    <x v="9"/>
    <s v="19-01-2011"/>
    <n v="2"/>
    <x v="0"/>
    <s v="Delfina Latchford"/>
    <x v="0"/>
    <s v="United States"/>
    <s v="Philadelphia"/>
    <s v="Pennsylvania"/>
    <x v="3"/>
    <x v="1"/>
    <x v="8"/>
    <s v="GBC Linen Binding Covers"/>
    <n v="18.59"/>
    <n v="2"/>
    <n v="0.7"/>
    <n v="-13.63"/>
  </r>
  <r>
    <x v="360"/>
    <x v="2"/>
    <x v="9"/>
    <s v="19-01-2011"/>
    <n v="2"/>
    <x v="0"/>
    <s v="Delfina Latchford"/>
    <x v="0"/>
    <s v="United States"/>
    <s v="Philadelphia"/>
    <s v="Pennsylvania"/>
    <x v="3"/>
    <x v="1"/>
    <x v="2"/>
    <s v="Round Specialty Laser Printer Labels"/>
    <n v="30.07"/>
    <n v="3"/>
    <n v="0.2"/>
    <n v="10.15"/>
  </r>
  <r>
    <x v="361"/>
    <x v="3"/>
    <x v="2"/>
    <d v="2014-09-10T00:00:00"/>
    <n v="3"/>
    <x v="0"/>
    <s v="Phillina Ober"/>
    <x v="2"/>
    <s v="United States"/>
    <s v="New York City"/>
    <s v="New York"/>
    <x v="3"/>
    <x v="2"/>
    <x v="7"/>
    <s v="Motorola HK250 Universal Bluetooth Headset"/>
    <n v="160.93"/>
    <n v="7"/>
    <n v="0"/>
    <n v="3.22"/>
  </r>
  <r>
    <x v="361"/>
    <x v="3"/>
    <x v="2"/>
    <d v="2014-09-10T00:00:00"/>
    <n v="3"/>
    <x v="0"/>
    <s v="Phillina Ober"/>
    <x v="2"/>
    <s v="United States"/>
    <s v="New York City"/>
    <s v="New York"/>
    <x v="3"/>
    <x v="1"/>
    <x v="8"/>
    <s v="Tuf-Vin Binders"/>
    <n v="75.790000000000006"/>
    <n v="3"/>
    <n v="0.2"/>
    <n v="25.58"/>
  </r>
  <r>
    <x v="362"/>
    <x v="3"/>
    <x v="7"/>
    <s v="16-07-2014"/>
    <n v="6"/>
    <x v="1"/>
    <s v="Tamara Dahlen"/>
    <x v="0"/>
    <s v="United States"/>
    <s v="Portland"/>
    <s v="Oregon"/>
    <x v="1"/>
    <x v="1"/>
    <x v="8"/>
    <s v="Wilson Jones Easy Flow II Sheet Lifters"/>
    <n v="1.08"/>
    <n v="2"/>
    <n v="0.7"/>
    <n v="-0.79"/>
  </r>
  <r>
    <x v="363"/>
    <x v="3"/>
    <x v="9"/>
    <d v="2014-11-01T00:00:00"/>
    <n v="3"/>
    <x v="2"/>
    <s v="Bart Watters"/>
    <x v="1"/>
    <s v="United States"/>
    <s v="Detroit"/>
    <s v="Michigan"/>
    <x v="2"/>
    <x v="2"/>
    <x v="15"/>
    <s v="Lexmark MX611dhe Monochrome Laser Printer"/>
    <n v="3059.98"/>
    <n v="2"/>
    <n v="0.1"/>
    <n v="680"/>
  </r>
  <r>
    <x v="198"/>
    <x v="0"/>
    <x v="5"/>
    <d v="2013-01-06T00:00:00"/>
    <n v="1"/>
    <x v="2"/>
    <s v="Robert Waldorf"/>
    <x v="0"/>
    <s v="United States"/>
    <s v="Wilmington"/>
    <s v="North Carolina"/>
    <x v="0"/>
    <x v="1"/>
    <x v="8"/>
    <s v="Angle-D Ring Binders"/>
    <n v="3.28"/>
    <n v="2"/>
    <n v="0.7"/>
    <n v="-2.63"/>
  </r>
  <r>
    <x v="364"/>
    <x v="1"/>
    <x v="4"/>
    <d v="2012-12-12T00:00:00"/>
    <n v="3"/>
    <x v="2"/>
    <s v="Ken Brennan"/>
    <x v="1"/>
    <s v="United States"/>
    <s v="Columbus"/>
    <s v="Indiana"/>
    <x v="2"/>
    <x v="1"/>
    <x v="10"/>
    <s v="Xerox 188"/>
    <n v="34.020000000000003"/>
    <n v="3"/>
    <n v="0"/>
    <n v="16.670000000000002"/>
  </r>
  <r>
    <x v="339"/>
    <x v="0"/>
    <x v="2"/>
    <d v="2013-09-10T00:00:00"/>
    <n v="5"/>
    <x v="1"/>
    <s v="Emily Burns"/>
    <x v="0"/>
    <s v="United States"/>
    <s v="New York City"/>
    <s v="New York"/>
    <x v="3"/>
    <x v="0"/>
    <x v="1"/>
    <s v="Office Star - Contemporary Task Swivel Chair"/>
    <n v="599.29"/>
    <n v="6"/>
    <n v="0.1"/>
    <n v="93.22"/>
  </r>
  <r>
    <x v="7"/>
    <x v="2"/>
    <x v="0"/>
    <s v="14-11-2011"/>
    <n v="3"/>
    <x v="0"/>
    <s v="Tracy Zic"/>
    <x v="0"/>
    <s v="United States"/>
    <s v="Louisville"/>
    <s v="Colorado"/>
    <x v="1"/>
    <x v="1"/>
    <x v="6"/>
    <s v="BIC Brite Liner Grip Highlighters, Assorted, 5/Pack"/>
    <n v="3.39"/>
    <n v="1"/>
    <n v="0.2"/>
    <n v="0.81"/>
  </r>
  <r>
    <x v="7"/>
    <x v="2"/>
    <x v="0"/>
    <s v="14-11-2011"/>
    <n v="3"/>
    <x v="0"/>
    <s v="Tracy Zic"/>
    <x v="0"/>
    <s v="United States"/>
    <s v="Louisville"/>
    <s v="Colorado"/>
    <x v="1"/>
    <x v="2"/>
    <x v="7"/>
    <s v="Samsung Galaxy S III - 16GB - pebble blue (T-Mobile)"/>
    <n v="559.98"/>
    <n v="2"/>
    <n v="0.2"/>
    <n v="56"/>
  </r>
  <r>
    <x v="7"/>
    <x v="2"/>
    <x v="0"/>
    <s v="14-11-2011"/>
    <n v="3"/>
    <x v="0"/>
    <s v="Tracy Zic"/>
    <x v="0"/>
    <s v="United States"/>
    <s v="Louisville"/>
    <s v="Colorado"/>
    <x v="1"/>
    <x v="0"/>
    <x v="1"/>
    <s v="Global Airflow Leather Mesh Back Chair, Black"/>
    <n v="603.91999999999996"/>
    <n v="5"/>
    <n v="0.2"/>
    <n v="75.489999999999995"/>
  </r>
  <r>
    <x v="365"/>
    <x v="3"/>
    <x v="8"/>
    <d v="2014-06-10T00:00:00"/>
    <n v="6"/>
    <x v="1"/>
    <s v="Ann Steele"/>
    <x v="2"/>
    <s v="United States"/>
    <s v="Pasadena"/>
    <s v="Texas"/>
    <x v="2"/>
    <x v="1"/>
    <x v="2"/>
    <s v="Avery 499"/>
    <n v="7.97"/>
    <n v="2"/>
    <n v="0.2"/>
    <n v="2.59"/>
  </r>
  <r>
    <x v="365"/>
    <x v="3"/>
    <x v="8"/>
    <d v="2014-06-10T00:00:00"/>
    <n v="6"/>
    <x v="1"/>
    <s v="Ann Steele"/>
    <x v="2"/>
    <s v="United States"/>
    <s v="Pasadena"/>
    <s v="Texas"/>
    <x v="2"/>
    <x v="1"/>
    <x v="12"/>
    <s v="#10- 4 1/8&quot; x 9 1/2&quot; Recycled Envelopes"/>
    <n v="27.97"/>
    <n v="4"/>
    <n v="0.2"/>
    <n v="9.44"/>
  </r>
  <r>
    <x v="365"/>
    <x v="3"/>
    <x v="8"/>
    <d v="2014-06-10T00:00:00"/>
    <n v="6"/>
    <x v="1"/>
    <s v="Ann Steele"/>
    <x v="2"/>
    <s v="United States"/>
    <s v="Pasadena"/>
    <s v="Texas"/>
    <x v="2"/>
    <x v="2"/>
    <x v="15"/>
    <s v="Wasp CCD Handheld Bar Code Reader"/>
    <n v="336.51"/>
    <n v="3"/>
    <n v="0.4"/>
    <n v="44.87"/>
  </r>
  <r>
    <x v="366"/>
    <x v="1"/>
    <x v="10"/>
    <d v="2012-10-03T00:00:00"/>
    <n v="0"/>
    <x v="3"/>
    <s v="Toby Swindell"/>
    <x v="0"/>
    <s v="United States"/>
    <s v="Houston"/>
    <s v="Texas"/>
    <x v="2"/>
    <x v="1"/>
    <x v="8"/>
    <s v="Acco Suede Grain Vinyl Round Ring Binder"/>
    <n v="1.1100000000000001"/>
    <n v="2"/>
    <n v="0.8"/>
    <n v="-1.89"/>
  </r>
  <r>
    <x v="367"/>
    <x v="3"/>
    <x v="5"/>
    <s v="27-05-2014"/>
    <n v="5"/>
    <x v="1"/>
    <s v="John Grady"/>
    <x v="1"/>
    <s v="United States"/>
    <s v="Auburn"/>
    <s v="New York"/>
    <x v="3"/>
    <x v="0"/>
    <x v="5"/>
    <s v="Luxo Professional Magnifying Clamp-On Fluorescent Lamps"/>
    <n v="520.04999999999995"/>
    <n v="5"/>
    <n v="0"/>
    <n v="72.81"/>
  </r>
  <r>
    <x v="367"/>
    <x v="3"/>
    <x v="5"/>
    <s v="27-05-2014"/>
    <n v="5"/>
    <x v="1"/>
    <s v="John Grady"/>
    <x v="1"/>
    <s v="United States"/>
    <s v="Auburn"/>
    <s v="New York"/>
    <x v="3"/>
    <x v="1"/>
    <x v="6"/>
    <s v="Bulldog Table or Wall-Mount Pencil Sharpener"/>
    <n v="17.97"/>
    <n v="3"/>
    <n v="0"/>
    <n v="5.21"/>
  </r>
  <r>
    <x v="368"/>
    <x v="1"/>
    <x v="10"/>
    <s v="31-03-2012"/>
    <n v="2"/>
    <x v="0"/>
    <s v="Sara Luxemburg"/>
    <x v="2"/>
    <s v="United States"/>
    <s v="Jacksonville"/>
    <s v="Florida"/>
    <x v="0"/>
    <x v="0"/>
    <x v="1"/>
    <s v="Hon 4070 Series Pagoda Armless Upholstered Stacking Chairs"/>
    <n v="1166.92"/>
    <n v="5"/>
    <n v="0.2"/>
    <n v="131.28"/>
  </r>
  <r>
    <x v="369"/>
    <x v="0"/>
    <x v="8"/>
    <d v="2013-12-09T00:00:00"/>
    <n v="2"/>
    <x v="2"/>
    <s v="Troy Staebel"/>
    <x v="0"/>
    <s v="United States"/>
    <s v="New York City"/>
    <s v="New York"/>
    <x v="3"/>
    <x v="1"/>
    <x v="8"/>
    <s v="Cardinal EasyOpen D-Ring Binders"/>
    <n v="14.62"/>
    <n v="2"/>
    <n v="0.2"/>
    <n v="5.48"/>
  </r>
  <r>
    <x v="370"/>
    <x v="0"/>
    <x v="6"/>
    <s v="28-08-2013"/>
    <n v="1"/>
    <x v="2"/>
    <s v="Roland Fjeld"/>
    <x v="0"/>
    <s v="United States"/>
    <s v="San Jose"/>
    <s v="California"/>
    <x v="1"/>
    <x v="1"/>
    <x v="13"/>
    <s v="Advantus SlideClip Paper Clips"/>
    <n v="10.23"/>
    <n v="3"/>
    <n v="0"/>
    <n v="4.91"/>
  </r>
  <r>
    <x v="370"/>
    <x v="0"/>
    <x v="6"/>
    <s v="28-08-2013"/>
    <n v="1"/>
    <x v="2"/>
    <s v="Roland Fjeld"/>
    <x v="0"/>
    <s v="United States"/>
    <s v="San Jose"/>
    <s v="California"/>
    <x v="1"/>
    <x v="1"/>
    <x v="10"/>
    <s v="Xerox 1979"/>
    <n v="154.9"/>
    <n v="5"/>
    <n v="0"/>
    <n v="69.709999999999994"/>
  </r>
  <r>
    <x v="371"/>
    <x v="2"/>
    <x v="5"/>
    <s v="25-05-2011"/>
    <n v="4"/>
    <x v="1"/>
    <s v="Mitch Willingham"/>
    <x v="1"/>
    <s v="United States"/>
    <s v="Virginia Beach"/>
    <s v="Virginia"/>
    <x v="0"/>
    <x v="1"/>
    <x v="8"/>
    <s v="Fellowes PB300 Plastic Comb Binding Machine"/>
    <n v="2715.93"/>
    <n v="7"/>
    <n v="0"/>
    <n v="1276.49"/>
  </r>
  <r>
    <x v="371"/>
    <x v="2"/>
    <x v="5"/>
    <s v="25-05-2011"/>
    <n v="4"/>
    <x v="1"/>
    <s v="Mitch Willingham"/>
    <x v="1"/>
    <s v="United States"/>
    <s v="Virginia Beach"/>
    <s v="Virginia"/>
    <x v="0"/>
    <x v="2"/>
    <x v="7"/>
    <s v="Plantronics Voyager Pro Legend"/>
    <n v="617.97"/>
    <n v="3"/>
    <n v="0"/>
    <n v="173.03"/>
  </r>
  <r>
    <x v="372"/>
    <x v="1"/>
    <x v="2"/>
    <d v="2012-03-11T00:00:00"/>
    <n v="6"/>
    <x v="1"/>
    <s v="Rob Dowd"/>
    <x v="0"/>
    <s v="United States"/>
    <s v="Henderson"/>
    <s v="Kentucky"/>
    <x v="0"/>
    <x v="1"/>
    <x v="12"/>
    <s v="Laser &amp; Ink Jet Business Envelopes"/>
    <n v="10.67"/>
    <n v="1"/>
    <n v="0"/>
    <n v="4.91"/>
  </r>
  <r>
    <x v="372"/>
    <x v="1"/>
    <x v="2"/>
    <d v="2012-03-11T00:00:00"/>
    <n v="6"/>
    <x v="1"/>
    <s v="Rob Dowd"/>
    <x v="0"/>
    <s v="United States"/>
    <s v="Henderson"/>
    <s v="Kentucky"/>
    <x v="0"/>
    <x v="1"/>
    <x v="4"/>
    <s v="Portable Personal File Box"/>
    <n v="36.630000000000003"/>
    <n v="3"/>
    <n v="0"/>
    <n v="9.89"/>
  </r>
  <r>
    <x v="372"/>
    <x v="1"/>
    <x v="2"/>
    <d v="2012-03-11T00:00:00"/>
    <n v="6"/>
    <x v="1"/>
    <s v="Rob Dowd"/>
    <x v="0"/>
    <s v="United States"/>
    <s v="Henderson"/>
    <s v="Kentucky"/>
    <x v="0"/>
    <x v="0"/>
    <x v="5"/>
    <s v="Magna Visual Magnetic Picture Hangers"/>
    <n v="24.1"/>
    <n v="5"/>
    <n v="0"/>
    <n v="9.16"/>
  </r>
  <r>
    <x v="372"/>
    <x v="1"/>
    <x v="2"/>
    <d v="2012-03-11T00:00:00"/>
    <n v="6"/>
    <x v="1"/>
    <s v="Rob Dowd"/>
    <x v="0"/>
    <s v="United States"/>
    <s v="Henderson"/>
    <s v="Kentucky"/>
    <x v="0"/>
    <x v="0"/>
    <x v="5"/>
    <s v="C-Line Cubicle Keepers Polyproplyene Holder With Velcro Backings"/>
    <n v="33.11"/>
    <n v="7"/>
    <n v="0"/>
    <n v="12.91"/>
  </r>
  <r>
    <x v="373"/>
    <x v="0"/>
    <x v="0"/>
    <s v="18-11-2013"/>
    <n v="4"/>
    <x v="1"/>
    <s v="Frank Merwin"/>
    <x v="2"/>
    <s v="United States"/>
    <s v="Vancouver"/>
    <s v="Washington"/>
    <x v="1"/>
    <x v="1"/>
    <x v="6"/>
    <s v="Boston 16801 Nautilus Battery Pencil Sharpener"/>
    <n v="44.02"/>
    <n v="2"/>
    <n v="0"/>
    <n v="11.45"/>
  </r>
  <r>
    <x v="374"/>
    <x v="1"/>
    <x v="7"/>
    <s v="31-07-2012"/>
    <n v="0"/>
    <x v="3"/>
    <s v="Rick Hansen"/>
    <x v="0"/>
    <s v="United States"/>
    <s v="New York City"/>
    <s v="New York"/>
    <x v="3"/>
    <x v="2"/>
    <x v="11"/>
    <s v="Plantronics CS510 - Over-the-Head monaural Wireless Headset System"/>
    <n v="2309.65"/>
    <n v="7"/>
    <n v="0"/>
    <n v="762.18"/>
  </r>
  <r>
    <x v="374"/>
    <x v="1"/>
    <x v="7"/>
    <s v="31-07-2012"/>
    <n v="0"/>
    <x v="3"/>
    <s v="Rick Hansen"/>
    <x v="0"/>
    <s v="United States"/>
    <s v="New York City"/>
    <s v="New York"/>
    <x v="3"/>
    <x v="0"/>
    <x v="3"/>
    <s v="Bevis Round Bullnose 29&quot; High Table Top"/>
    <n v="1090.78"/>
    <n v="7"/>
    <n v="0.4"/>
    <n v="-290.88"/>
  </r>
  <r>
    <x v="374"/>
    <x v="1"/>
    <x v="7"/>
    <s v="31-07-2012"/>
    <n v="0"/>
    <x v="3"/>
    <s v="Rick Hansen"/>
    <x v="0"/>
    <s v="United States"/>
    <s v="New York City"/>
    <s v="New York"/>
    <x v="3"/>
    <x v="1"/>
    <x v="10"/>
    <s v="Xerox 212"/>
    <n v="19.440000000000001"/>
    <n v="3"/>
    <n v="0"/>
    <n v="9.33"/>
  </r>
  <r>
    <x v="375"/>
    <x v="1"/>
    <x v="6"/>
    <s v="31-08-2012"/>
    <n v="4"/>
    <x v="1"/>
    <s v="Ryan Akin"/>
    <x v="0"/>
    <s v="United States"/>
    <s v="Murrieta"/>
    <s v="California"/>
    <x v="1"/>
    <x v="1"/>
    <x v="4"/>
    <s v="Fellowes Super Stor/Drawer Files"/>
    <n v="484.65"/>
    <n v="3"/>
    <n v="0"/>
    <n v="92.08"/>
  </r>
  <r>
    <x v="50"/>
    <x v="1"/>
    <x v="0"/>
    <s v="17-11-2012"/>
    <n v="4"/>
    <x v="1"/>
    <s v="Joe Kamberova"/>
    <x v="0"/>
    <s v="United States"/>
    <s v="Jacksonville"/>
    <s v="North Carolina"/>
    <x v="0"/>
    <x v="1"/>
    <x v="10"/>
    <s v="Xerox 1910"/>
    <n v="115.3"/>
    <n v="3"/>
    <n v="0.2"/>
    <n v="40.35"/>
  </r>
  <r>
    <x v="376"/>
    <x v="1"/>
    <x v="0"/>
    <d v="2012-09-11T00:00:00"/>
    <n v="3"/>
    <x v="2"/>
    <s v="Meg Tillman"/>
    <x v="0"/>
    <s v="United States"/>
    <s v="Scottsdale"/>
    <s v="Arizona"/>
    <x v="1"/>
    <x v="1"/>
    <x v="12"/>
    <s v="Redi-Strip #10 Envelopes, 4 1/8 x 9 1/2"/>
    <n v="7.08"/>
    <n v="3"/>
    <n v="0.2"/>
    <n v="2.48"/>
  </r>
  <r>
    <x v="376"/>
    <x v="1"/>
    <x v="0"/>
    <d v="2012-09-11T00:00:00"/>
    <n v="3"/>
    <x v="2"/>
    <s v="Meg Tillman"/>
    <x v="0"/>
    <s v="United States"/>
    <s v="Scottsdale"/>
    <s v="Arizona"/>
    <x v="1"/>
    <x v="1"/>
    <x v="8"/>
    <s v="UniKeep View Case Binders"/>
    <n v="4.4000000000000004"/>
    <n v="3"/>
    <n v="0.7"/>
    <n v="-3.52"/>
  </r>
  <r>
    <x v="377"/>
    <x v="3"/>
    <x v="4"/>
    <d v="2015-02-01T00:00:00"/>
    <n v="6"/>
    <x v="1"/>
    <s v="Patrick O'Brill"/>
    <x v="0"/>
    <s v="United States"/>
    <s v="Burlington"/>
    <s v="Iowa"/>
    <x v="2"/>
    <x v="1"/>
    <x v="10"/>
    <s v="Recycled Desk Saver Line &quot;While You Were Out&quot; Book, 5 1/2&quot; X 4&quot;"/>
    <n v="44.75"/>
    <n v="5"/>
    <n v="0"/>
    <n v="20.59"/>
  </r>
  <r>
    <x v="378"/>
    <x v="3"/>
    <x v="6"/>
    <d v="2014-04-08T00:00:00"/>
    <n v="2"/>
    <x v="2"/>
    <s v="Annie Thurman"/>
    <x v="0"/>
    <s v="United States"/>
    <s v="Chicago"/>
    <s v="Illinois"/>
    <x v="2"/>
    <x v="2"/>
    <x v="7"/>
    <s v="JBL Micro Wireless Portable Bluetooth Speaker"/>
    <n v="95.98"/>
    <n v="2"/>
    <n v="0.2"/>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D7FAF5-3116-4085-AA44-27B2094B0FFB}" name="Yearwise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I3:AJ7" firstHeaderRow="1" firstDataRow="1" firstDataCol="1"/>
  <pivotFields count="19">
    <pivotField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
  </rowFields>
  <rowItems count="4">
    <i>
      <x/>
    </i>
    <i>
      <x v="1"/>
    </i>
    <i>
      <x v="2"/>
    </i>
    <i>
      <x v="3"/>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FD1E85-1CF6-4EFC-B259-E39F7C1D9E94}" name="Monthly Prof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3:AU15" firstHeaderRow="1" firstDataRow="1" firstDataCol="1"/>
  <pivotFields count="19">
    <pivotField showAll="0">
      <items count="380">
        <item x="181"/>
        <item x="271"/>
        <item x="299"/>
        <item x="138"/>
        <item x="8"/>
        <item x="1"/>
        <item x="188"/>
        <item x="103"/>
        <item x="126"/>
        <item x="303"/>
        <item x="313"/>
        <item x="50"/>
        <item x="105"/>
        <item x="350"/>
        <item x="286"/>
        <item x="69"/>
        <item x="287"/>
        <item x="263"/>
        <item x="80"/>
        <item x="63"/>
        <item x="119"/>
        <item x="373"/>
        <item x="38"/>
        <item x="180"/>
        <item x="234"/>
        <item x="167"/>
        <item x="349"/>
        <item x="304"/>
        <item x="345"/>
        <item x="216"/>
        <item x="32"/>
        <item x="52"/>
        <item x="336"/>
        <item x="219"/>
        <item x="237"/>
        <item x="83"/>
        <item x="13"/>
        <item x="199"/>
        <item x="164"/>
        <item x="173"/>
        <item x="4"/>
        <item x="356"/>
        <item x="140"/>
        <item x="243"/>
        <item x="306"/>
        <item x="175"/>
        <item x="272"/>
        <item x="360"/>
        <item x="184"/>
        <item x="327"/>
        <item x="114"/>
        <item x="87"/>
        <item x="11"/>
        <item x="328"/>
        <item x="14"/>
        <item x="118"/>
        <item x="76"/>
        <item x="186"/>
        <item x="294"/>
        <item x="24"/>
        <item x="26"/>
        <item x="46"/>
        <item x="19"/>
        <item x="227"/>
        <item x="42"/>
        <item x="161"/>
        <item x="217"/>
        <item x="94"/>
        <item x="317"/>
        <item x="196"/>
        <item x="257"/>
        <item x="298"/>
        <item x="238"/>
        <item x="111"/>
        <item x="31"/>
        <item x="65"/>
        <item x="324"/>
        <item x="84"/>
        <item x="174"/>
        <item x="122"/>
        <item x="305"/>
        <item x="288"/>
        <item x="240"/>
        <item x="351"/>
        <item x="249"/>
        <item x="59"/>
        <item x="251"/>
        <item x="20"/>
        <item x="22"/>
        <item x="15"/>
        <item x="312"/>
        <item x="258"/>
        <item x="123"/>
        <item x="139"/>
        <item x="176"/>
        <item x="297"/>
        <item x="90"/>
        <item x="231"/>
        <item x="177"/>
        <item x="371"/>
        <item x="244"/>
        <item x="261"/>
        <item x="23"/>
        <item x="308"/>
        <item x="228"/>
        <item x="291"/>
        <item x="158"/>
        <item x="201"/>
        <item x="179"/>
        <item x="82"/>
        <item x="73"/>
        <item x="225"/>
        <item x="115"/>
        <item x="276"/>
        <item x="204"/>
        <item x="81"/>
        <item x="206"/>
        <item x="367"/>
        <item x="169"/>
        <item x="137"/>
        <item x="192"/>
        <item x="246"/>
        <item x="170"/>
        <item x="358"/>
        <item x="357"/>
        <item x="296"/>
        <item x="68"/>
        <item x="147"/>
        <item x="208"/>
        <item x="6"/>
        <item x="202"/>
        <item x="203"/>
        <item x="183"/>
        <item x="300"/>
        <item x="235"/>
        <item x="293"/>
        <item x="149"/>
        <item x="250"/>
        <item x="332"/>
        <item x="66"/>
        <item x="205"/>
        <item x="131"/>
        <item x="310"/>
        <item x="283"/>
        <item x="252"/>
        <item x="146"/>
        <item x="248"/>
        <item x="156"/>
        <item x="27"/>
        <item x="51"/>
        <item x="163"/>
        <item x="100"/>
        <item x="331"/>
        <item x="334"/>
        <item x="92"/>
        <item x="55"/>
        <item x="12"/>
        <item x="241"/>
        <item x="221"/>
        <item x="165"/>
        <item x="33"/>
        <item x="134"/>
        <item x="153"/>
        <item x="353"/>
        <item x="197"/>
        <item x="86"/>
        <item x="326"/>
        <item x="120"/>
        <item x="145"/>
        <item x="35"/>
        <item x="58"/>
        <item x="207"/>
        <item x="53"/>
        <item x="253"/>
        <item x="279"/>
        <item x="190"/>
        <item x="335"/>
        <item x="9"/>
        <item x="375"/>
        <item x="370"/>
        <item x="127"/>
        <item x="182"/>
        <item x="40"/>
        <item x="154"/>
        <item x="200"/>
        <item x="17"/>
        <item x="377"/>
        <item x="102"/>
        <item x="262"/>
        <item x="152"/>
        <item x="71"/>
        <item x="307"/>
        <item x="278"/>
        <item x="151"/>
        <item x="372"/>
        <item x="189"/>
        <item x="109"/>
        <item x="344"/>
        <item x="129"/>
        <item x="75"/>
        <item x="368"/>
        <item x="333"/>
        <item x="236"/>
        <item x="352"/>
        <item x="316"/>
        <item x="39"/>
        <item x="290"/>
        <item x="150"/>
        <item x="194"/>
        <item x="99"/>
        <item x="239"/>
        <item x="85"/>
        <item x="354"/>
        <item x="282"/>
        <item x="116"/>
        <item x="28"/>
        <item x="211"/>
        <item x="148"/>
        <item x="222"/>
        <item x="117"/>
        <item x="48"/>
        <item x="321"/>
        <item x="365"/>
        <item x="341"/>
        <item x="125"/>
        <item x="43"/>
        <item x="289"/>
        <item x="70"/>
        <item x="198"/>
        <item x="374"/>
        <item x="245"/>
        <item x="284"/>
        <item x="133"/>
        <item x="89"/>
        <item x="247"/>
        <item x="72"/>
        <item x="106"/>
        <item x="268"/>
        <item x="301"/>
        <item x="215"/>
        <item x="270"/>
        <item x="266"/>
        <item x="223"/>
        <item x="93"/>
        <item x="130"/>
        <item x="277"/>
        <item x="267"/>
        <item x="260"/>
        <item x="79"/>
        <item x="29"/>
        <item x="322"/>
        <item x="191"/>
        <item x="159"/>
        <item x="273"/>
        <item x="315"/>
        <item x="233"/>
        <item x="78"/>
        <item x="309"/>
        <item x="3"/>
        <item x="128"/>
        <item x="340"/>
        <item x="187"/>
        <item x="337"/>
        <item x="232"/>
        <item x="325"/>
        <item x="320"/>
        <item x="218"/>
        <item x="7"/>
        <item x="269"/>
        <item x="136"/>
        <item x="171"/>
        <item x="36"/>
        <item x="135"/>
        <item x="98"/>
        <item x="56"/>
        <item x="121"/>
        <item x="302"/>
        <item x="230"/>
        <item x="37"/>
        <item x="292"/>
        <item x="155"/>
        <item x="124"/>
        <item x="242"/>
        <item x="57"/>
        <item x="348"/>
        <item x="376"/>
        <item x="67"/>
        <item x="209"/>
        <item x="214"/>
        <item x="285"/>
        <item x="97"/>
        <item x="265"/>
        <item x="101"/>
        <item x="330"/>
        <item x="364"/>
        <item x="366"/>
        <item x="229"/>
        <item x="113"/>
        <item x="347"/>
        <item x="2"/>
        <item x="88"/>
        <item x="295"/>
        <item x="178"/>
        <item x="142"/>
        <item x="49"/>
        <item x="323"/>
        <item x="339"/>
        <item x="54"/>
        <item x="275"/>
        <item x="319"/>
        <item x="30"/>
        <item x="254"/>
        <item x="346"/>
        <item x="41"/>
        <item x="64"/>
        <item x="5"/>
        <item x="112"/>
        <item x="47"/>
        <item x="61"/>
        <item x="311"/>
        <item x="281"/>
        <item x="274"/>
        <item x="77"/>
        <item x="143"/>
        <item x="162"/>
        <item x="0"/>
        <item x="16"/>
        <item x="195"/>
        <item x="369"/>
        <item x="10"/>
        <item x="342"/>
        <item x="224"/>
        <item x="212"/>
        <item x="338"/>
        <item x="107"/>
        <item x="21"/>
        <item x="74"/>
        <item x="108"/>
        <item x="25"/>
        <item x="185"/>
        <item x="160"/>
        <item x="329"/>
        <item x="314"/>
        <item x="378"/>
        <item x="172"/>
        <item x="96"/>
        <item x="62"/>
        <item x="264"/>
        <item x="280"/>
        <item x="355"/>
        <item x="95"/>
        <item x="213"/>
        <item x="132"/>
        <item x="168"/>
        <item x="259"/>
        <item x="361"/>
        <item x="60"/>
        <item x="256"/>
        <item x="91"/>
        <item x="44"/>
        <item x="363"/>
        <item x="104"/>
        <item x="210"/>
        <item x="226"/>
        <item x="144"/>
        <item x="110"/>
        <item x="141"/>
        <item x="166"/>
        <item x="359"/>
        <item x="255"/>
        <item x="362"/>
        <item x="45"/>
        <item x="34"/>
        <item x="318"/>
        <item x="193"/>
        <item x="18"/>
        <item x="220"/>
        <item x="343"/>
        <item x="157"/>
        <item t="default"/>
      </items>
    </pivotField>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Fields count="1">
    <field x="2"/>
  </rowFields>
  <rowItems count="12">
    <i>
      <x/>
    </i>
    <i>
      <x v="1"/>
    </i>
    <i>
      <x v="2"/>
    </i>
    <i>
      <x v="3"/>
    </i>
    <i>
      <x v="4"/>
    </i>
    <i>
      <x v="5"/>
    </i>
    <i>
      <x v="6"/>
    </i>
    <i>
      <x v="7"/>
    </i>
    <i>
      <x v="8"/>
    </i>
    <i>
      <x v="9"/>
    </i>
    <i>
      <x v="10"/>
    </i>
    <i>
      <x v="11"/>
    </i>
  </rowItems>
  <colItems count="1">
    <i/>
  </colItems>
  <dataFields count="1">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61E858-66E8-4A0D-8FB0-CECE7E33F4A4}" name="Sub-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3:AA20" firstHeaderRow="1" firstDataRow="1" firstDataCol="1"/>
  <pivotFields count="19">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3"/>
  </rowFields>
  <rowItems count="17">
    <i>
      <x/>
    </i>
    <i>
      <x v="1"/>
    </i>
    <i>
      <x v="2"/>
    </i>
    <i>
      <x v="3"/>
    </i>
    <i>
      <x v="4"/>
    </i>
    <i>
      <x v="5"/>
    </i>
    <i>
      <x v="6"/>
    </i>
    <i>
      <x v="7"/>
    </i>
    <i>
      <x v="8"/>
    </i>
    <i>
      <x v="9"/>
    </i>
    <i>
      <x v="10"/>
    </i>
    <i>
      <x v="11"/>
    </i>
    <i>
      <x v="12"/>
    </i>
    <i>
      <x v="13"/>
    </i>
    <i>
      <x v="14"/>
    </i>
    <i>
      <x v="15"/>
    </i>
    <i>
      <x v="16"/>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F347B7-CB26-45B1-AAFE-AD1FA1E3677D}" name="Monthly Quantit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Q3:AR15" firstHeaderRow="1" firstDataRow="1" firstDataCol="1"/>
  <pivotFields count="19">
    <pivotField showAll="0">
      <items count="380">
        <item x="181"/>
        <item x="271"/>
        <item x="299"/>
        <item x="138"/>
        <item x="8"/>
        <item x="1"/>
        <item x="188"/>
        <item x="103"/>
        <item x="126"/>
        <item x="303"/>
        <item x="313"/>
        <item x="50"/>
        <item x="105"/>
        <item x="350"/>
        <item x="286"/>
        <item x="69"/>
        <item x="287"/>
        <item x="263"/>
        <item x="80"/>
        <item x="63"/>
        <item x="119"/>
        <item x="373"/>
        <item x="38"/>
        <item x="180"/>
        <item x="234"/>
        <item x="167"/>
        <item x="349"/>
        <item x="304"/>
        <item x="345"/>
        <item x="216"/>
        <item x="32"/>
        <item x="52"/>
        <item x="336"/>
        <item x="219"/>
        <item x="237"/>
        <item x="83"/>
        <item x="13"/>
        <item x="199"/>
        <item x="164"/>
        <item x="173"/>
        <item x="4"/>
        <item x="356"/>
        <item x="140"/>
        <item x="243"/>
        <item x="306"/>
        <item x="175"/>
        <item x="272"/>
        <item x="360"/>
        <item x="184"/>
        <item x="327"/>
        <item x="114"/>
        <item x="87"/>
        <item x="11"/>
        <item x="328"/>
        <item x="14"/>
        <item x="118"/>
        <item x="76"/>
        <item x="186"/>
        <item x="294"/>
        <item x="24"/>
        <item x="26"/>
        <item x="46"/>
        <item x="19"/>
        <item x="227"/>
        <item x="42"/>
        <item x="161"/>
        <item x="217"/>
        <item x="94"/>
        <item x="317"/>
        <item x="196"/>
        <item x="257"/>
        <item x="298"/>
        <item x="238"/>
        <item x="111"/>
        <item x="31"/>
        <item x="65"/>
        <item x="324"/>
        <item x="84"/>
        <item x="174"/>
        <item x="122"/>
        <item x="305"/>
        <item x="288"/>
        <item x="240"/>
        <item x="351"/>
        <item x="249"/>
        <item x="59"/>
        <item x="251"/>
        <item x="20"/>
        <item x="22"/>
        <item x="15"/>
        <item x="312"/>
        <item x="258"/>
        <item x="123"/>
        <item x="139"/>
        <item x="176"/>
        <item x="297"/>
        <item x="90"/>
        <item x="231"/>
        <item x="177"/>
        <item x="371"/>
        <item x="244"/>
        <item x="261"/>
        <item x="23"/>
        <item x="308"/>
        <item x="228"/>
        <item x="291"/>
        <item x="158"/>
        <item x="201"/>
        <item x="179"/>
        <item x="82"/>
        <item x="73"/>
        <item x="225"/>
        <item x="115"/>
        <item x="276"/>
        <item x="204"/>
        <item x="81"/>
        <item x="206"/>
        <item x="367"/>
        <item x="169"/>
        <item x="137"/>
        <item x="192"/>
        <item x="246"/>
        <item x="170"/>
        <item x="358"/>
        <item x="357"/>
        <item x="296"/>
        <item x="68"/>
        <item x="147"/>
        <item x="208"/>
        <item x="6"/>
        <item x="202"/>
        <item x="203"/>
        <item x="183"/>
        <item x="300"/>
        <item x="235"/>
        <item x="293"/>
        <item x="149"/>
        <item x="250"/>
        <item x="332"/>
        <item x="66"/>
        <item x="205"/>
        <item x="131"/>
        <item x="310"/>
        <item x="283"/>
        <item x="252"/>
        <item x="146"/>
        <item x="248"/>
        <item x="156"/>
        <item x="27"/>
        <item x="51"/>
        <item x="163"/>
        <item x="100"/>
        <item x="331"/>
        <item x="334"/>
        <item x="92"/>
        <item x="55"/>
        <item x="12"/>
        <item x="241"/>
        <item x="221"/>
        <item x="165"/>
        <item x="33"/>
        <item x="134"/>
        <item x="153"/>
        <item x="353"/>
        <item x="197"/>
        <item x="86"/>
        <item x="326"/>
        <item x="120"/>
        <item x="145"/>
        <item x="35"/>
        <item x="58"/>
        <item x="207"/>
        <item x="53"/>
        <item x="253"/>
        <item x="279"/>
        <item x="190"/>
        <item x="335"/>
        <item x="9"/>
        <item x="375"/>
        <item x="370"/>
        <item x="127"/>
        <item x="182"/>
        <item x="40"/>
        <item x="154"/>
        <item x="200"/>
        <item x="17"/>
        <item x="377"/>
        <item x="102"/>
        <item x="262"/>
        <item x="152"/>
        <item x="71"/>
        <item x="307"/>
        <item x="278"/>
        <item x="151"/>
        <item x="372"/>
        <item x="189"/>
        <item x="109"/>
        <item x="344"/>
        <item x="129"/>
        <item x="75"/>
        <item x="368"/>
        <item x="333"/>
        <item x="236"/>
        <item x="352"/>
        <item x="316"/>
        <item x="39"/>
        <item x="290"/>
        <item x="150"/>
        <item x="194"/>
        <item x="99"/>
        <item x="239"/>
        <item x="85"/>
        <item x="354"/>
        <item x="282"/>
        <item x="116"/>
        <item x="28"/>
        <item x="211"/>
        <item x="148"/>
        <item x="222"/>
        <item x="117"/>
        <item x="48"/>
        <item x="321"/>
        <item x="365"/>
        <item x="341"/>
        <item x="125"/>
        <item x="43"/>
        <item x="289"/>
        <item x="70"/>
        <item x="198"/>
        <item x="374"/>
        <item x="245"/>
        <item x="284"/>
        <item x="133"/>
        <item x="89"/>
        <item x="247"/>
        <item x="72"/>
        <item x="106"/>
        <item x="268"/>
        <item x="301"/>
        <item x="215"/>
        <item x="270"/>
        <item x="266"/>
        <item x="223"/>
        <item x="93"/>
        <item x="130"/>
        <item x="277"/>
        <item x="267"/>
        <item x="260"/>
        <item x="79"/>
        <item x="29"/>
        <item x="322"/>
        <item x="191"/>
        <item x="159"/>
        <item x="273"/>
        <item x="315"/>
        <item x="233"/>
        <item x="78"/>
        <item x="309"/>
        <item x="3"/>
        <item x="128"/>
        <item x="340"/>
        <item x="187"/>
        <item x="337"/>
        <item x="232"/>
        <item x="325"/>
        <item x="320"/>
        <item x="218"/>
        <item x="7"/>
        <item x="269"/>
        <item x="136"/>
        <item x="171"/>
        <item x="36"/>
        <item x="135"/>
        <item x="98"/>
        <item x="56"/>
        <item x="121"/>
        <item x="302"/>
        <item x="230"/>
        <item x="37"/>
        <item x="292"/>
        <item x="155"/>
        <item x="124"/>
        <item x="242"/>
        <item x="57"/>
        <item x="348"/>
        <item x="376"/>
        <item x="67"/>
        <item x="209"/>
        <item x="214"/>
        <item x="285"/>
        <item x="97"/>
        <item x="265"/>
        <item x="101"/>
        <item x="330"/>
        <item x="364"/>
        <item x="366"/>
        <item x="229"/>
        <item x="113"/>
        <item x="347"/>
        <item x="2"/>
        <item x="88"/>
        <item x="295"/>
        <item x="178"/>
        <item x="142"/>
        <item x="49"/>
        <item x="323"/>
        <item x="339"/>
        <item x="54"/>
        <item x="275"/>
        <item x="319"/>
        <item x="30"/>
        <item x="254"/>
        <item x="346"/>
        <item x="41"/>
        <item x="64"/>
        <item x="5"/>
        <item x="112"/>
        <item x="47"/>
        <item x="61"/>
        <item x="311"/>
        <item x="281"/>
        <item x="274"/>
        <item x="77"/>
        <item x="143"/>
        <item x="162"/>
        <item x="0"/>
        <item x="16"/>
        <item x="195"/>
        <item x="369"/>
        <item x="10"/>
        <item x="342"/>
        <item x="224"/>
        <item x="212"/>
        <item x="338"/>
        <item x="107"/>
        <item x="21"/>
        <item x="74"/>
        <item x="108"/>
        <item x="25"/>
        <item x="185"/>
        <item x="160"/>
        <item x="329"/>
        <item x="314"/>
        <item x="378"/>
        <item x="172"/>
        <item x="96"/>
        <item x="62"/>
        <item x="264"/>
        <item x="280"/>
        <item x="355"/>
        <item x="95"/>
        <item x="213"/>
        <item x="132"/>
        <item x="168"/>
        <item x="259"/>
        <item x="361"/>
        <item x="60"/>
        <item x="256"/>
        <item x="91"/>
        <item x="44"/>
        <item x="363"/>
        <item x="104"/>
        <item x="210"/>
        <item x="226"/>
        <item x="144"/>
        <item x="110"/>
        <item x="141"/>
        <item x="166"/>
        <item x="359"/>
        <item x="255"/>
        <item x="362"/>
        <item x="45"/>
        <item x="34"/>
        <item x="318"/>
        <item x="193"/>
        <item x="18"/>
        <item x="220"/>
        <item x="343"/>
        <item x="157"/>
        <item t="default"/>
      </items>
    </pivotField>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Quantity"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FCA981-614B-4FB1-B499-055D28C09B29}" name="Segme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 firstHeaderRow="1" firstDataRow="1" firstDataCol="1"/>
  <pivotFields count="19">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s>
  <rowFields count="1">
    <field x="7"/>
  </rowFields>
  <rowItems count="3">
    <i>
      <x/>
    </i>
    <i>
      <x v="1"/>
    </i>
    <i>
      <x v="2"/>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8FE27B-5B57-472B-AEBE-BFEF2E3F6C78}" name="Monthly Sal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19">
    <pivotField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B34C45-6A31-4500-8A4F-83158D7165F7}" name="Ship 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7" firstHeaderRow="1" firstDataRow="1" firstDataCol="1"/>
  <pivotFields count="19">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showAll="0"/>
    <pivotField showAll="0"/>
    <pivotField showAll="0"/>
    <pivotField showAll="0"/>
  </pivotFields>
  <rowFields count="1">
    <field x="5"/>
  </rowFields>
  <rowItems count="4">
    <i>
      <x/>
    </i>
    <i>
      <x v="1"/>
    </i>
    <i>
      <x v="2"/>
    </i>
    <i>
      <x v="3"/>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EA24FE-DA46-48DC-A013-811809AAC27E}" name="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D3:BE6" firstHeaderRow="1" firstDataRow="1" firstDataCol="1"/>
  <pivotFields count="19">
    <pivotField showAll="0">
      <items count="380">
        <item x="181"/>
        <item x="271"/>
        <item x="299"/>
        <item x="138"/>
        <item x="8"/>
        <item x="1"/>
        <item x="188"/>
        <item x="103"/>
        <item x="126"/>
        <item x="303"/>
        <item x="313"/>
        <item x="50"/>
        <item x="105"/>
        <item x="350"/>
        <item x="286"/>
        <item x="69"/>
        <item x="287"/>
        <item x="263"/>
        <item x="80"/>
        <item x="63"/>
        <item x="119"/>
        <item x="373"/>
        <item x="38"/>
        <item x="180"/>
        <item x="234"/>
        <item x="167"/>
        <item x="349"/>
        <item x="304"/>
        <item x="345"/>
        <item x="216"/>
        <item x="32"/>
        <item x="52"/>
        <item x="336"/>
        <item x="219"/>
        <item x="237"/>
        <item x="83"/>
        <item x="13"/>
        <item x="199"/>
        <item x="164"/>
        <item x="173"/>
        <item x="4"/>
        <item x="356"/>
        <item x="140"/>
        <item x="243"/>
        <item x="306"/>
        <item x="175"/>
        <item x="272"/>
        <item x="360"/>
        <item x="184"/>
        <item x="327"/>
        <item x="114"/>
        <item x="87"/>
        <item x="11"/>
        <item x="328"/>
        <item x="14"/>
        <item x="118"/>
        <item x="76"/>
        <item x="186"/>
        <item x="294"/>
        <item x="24"/>
        <item x="26"/>
        <item x="46"/>
        <item x="19"/>
        <item x="227"/>
        <item x="42"/>
        <item x="161"/>
        <item x="217"/>
        <item x="94"/>
        <item x="317"/>
        <item x="196"/>
        <item x="257"/>
        <item x="298"/>
        <item x="238"/>
        <item x="111"/>
        <item x="31"/>
        <item x="65"/>
        <item x="324"/>
        <item x="84"/>
        <item x="174"/>
        <item x="122"/>
        <item x="305"/>
        <item x="288"/>
        <item x="240"/>
        <item x="351"/>
        <item x="249"/>
        <item x="59"/>
        <item x="251"/>
        <item x="20"/>
        <item x="22"/>
        <item x="15"/>
        <item x="312"/>
        <item x="258"/>
        <item x="123"/>
        <item x="139"/>
        <item x="176"/>
        <item x="297"/>
        <item x="90"/>
        <item x="231"/>
        <item x="177"/>
        <item x="371"/>
        <item x="244"/>
        <item x="261"/>
        <item x="23"/>
        <item x="308"/>
        <item x="228"/>
        <item x="291"/>
        <item x="158"/>
        <item x="201"/>
        <item x="179"/>
        <item x="82"/>
        <item x="73"/>
        <item x="225"/>
        <item x="115"/>
        <item x="276"/>
        <item x="204"/>
        <item x="81"/>
        <item x="206"/>
        <item x="367"/>
        <item x="169"/>
        <item x="137"/>
        <item x="192"/>
        <item x="246"/>
        <item x="170"/>
        <item x="358"/>
        <item x="357"/>
        <item x="296"/>
        <item x="68"/>
        <item x="147"/>
        <item x="208"/>
        <item x="6"/>
        <item x="202"/>
        <item x="203"/>
        <item x="183"/>
        <item x="300"/>
        <item x="235"/>
        <item x="293"/>
        <item x="149"/>
        <item x="250"/>
        <item x="332"/>
        <item x="66"/>
        <item x="205"/>
        <item x="131"/>
        <item x="310"/>
        <item x="283"/>
        <item x="252"/>
        <item x="146"/>
        <item x="248"/>
        <item x="156"/>
        <item x="27"/>
        <item x="51"/>
        <item x="163"/>
        <item x="100"/>
        <item x="331"/>
        <item x="334"/>
        <item x="92"/>
        <item x="55"/>
        <item x="12"/>
        <item x="241"/>
        <item x="221"/>
        <item x="165"/>
        <item x="33"/>
        <item x="134"/>
        <item x="153"/>
        <item x="353"/>
        <item x="197"/>
        <item x="86"/>
        <item x="326"/>
        <item x="120"/>
        <item x="145"/>
        <item x="35"/>
        <item x="58"/>
        <item x="207"/>
        <item x="53"/>
        <item x="253"/>
        <item x="279"/>
        <item x="190"/>
        <item x="335"/>
        <item x="9"/>
        <item x="375"/>
        <item x="370"/>
        <item x="127"/>
        <item x="182"/>
        <item x="40"/>
        <item x="154"/>
        <item x="200"/>
        <item x="17"/>
        <item x="377"/>
        <item x="102"/>
        <item x="262"/>
        <item x="152"/>
        <item x="71"/>
        <item x="307"/>
        <item x="278"/>
        <item x="151"/>
        <item x="372"/>
        <item x="189"/>
        <item x="109"/>
        <item x="344"/>
        <item x="129"/>
        <item x="75"/>
        <item x="368"/>
        <item x="333"/>
        <item x="236"/>
        <item x="352"/>
        <item x="316"/>
        <item x="39"/>
        <item x="290"/>
        <item x="150"/>
        <item x="194"/>
        <item x="99"/>
        <item x="239"/>
        <item x="85"/>
        <item x="354"/>
        <item x="282"/>
        <item x="116"/>
        <item x="28"/>
        <item x="211"/>
        <item x="148"/>
        <item x="222"/>
        <item x="117"/>
        <item x="48"/>
        <item x="321"/>
        <item x="365"/>
        <item x="341"/>
        <item x="125"/>
        <item x="43"/>
        <item x="289"/>
        <item x="70"/>
        <item x="198"/>
        <item x="374"/>
        <item x="245"/>
        <item x="284"/>
        <item x="133"/>
        <item x="89"/>
        <item x="247"/>
        <item x="72"/>
        <item x="106"/>
        <item x="268"/>
        <item x="301"/>
        <item x="215"/>
        <item x="270"/>
        <item x="266"/>
        <item x="223"/>
        <item x="93"/>
        <item x="130"/>
        <item x="277"/>
        <item x="267"/>
        <item x="260"/>
        <item x="79"/>
        <item x="29"/>
        <item x="322"/>
        <item x="191"/>
        <item x="159"/>
        <item x="273"/>
        <item x="315"/>
        <item x="233"/>
        <item x="78"/>
        <item x="309"/>
        <item x="3"/>
        <item x="128"/>
        <item x="340"/>
        <item x="187"/>
        <item x="337"/>
        <item x="232"/>
        <item x="325"/>
        <item x="320"/>
        <item x="218"/>
        <item x="7"/>
        <item x="269"/>
        <item x="136"/>
        <item x="171"/>
        <item x="36"/>
        <item x="135"/>
        <item x="98"/>
        <item x="56"/>
        <item x="121"/>
        <item x="302"/>
        <item x="230"/>
        <item x="37"/>
        <item x="292"/>
        <item x="155"/>
        <item x="124"/>
        <item x="242"/>
        <item x="57"/>
        <item x="348"/>
        <item x="376"/>
        <item x="67"/>
        <item x="209"/>
        <item x="214"/>
        <item x="285"/>
        <item x="97"/>
        <item x="265"/>
        <item x="101"/>
        <item x="330"/>
        <item x="364"/>
        <item x="366"/>
        <item x="229"/>
        <item x="113"/>
        <item x="347"/>
        <item x="2"/>
        <item x="88"/>
        <item x="295"/>
        <item x="178"/>
        <item x="142"/>
        <item x="49"/>
        <item x="323"/>
        <item x="339"/>
        <item x="54"/>
        <item x="275"/>
        <item x="319"/>
        <item x="30"/>
        <item x="254"/>
        <item x="346"/>
        <item x="41"/>
        <item x="64"/>
        <item x="5"/>
        <item x="112"/>
        <item x="47"/>
        <item x="61"/>
        <item x="311"/>
        <item x="281"/>
        <item x="274"/>
        <item x="77"/>
        <item x="143"/>
        <item x="162"/>
        <item x="0"/>
        <item x="16"/>
        <item x="195"/>
        <item x="369"/>
        <item x="10"/>
        <item x="342"/>
        <item x="224"/>
        <item x="212"/>
        <item x="338"/>
        <item x="107"/>
        <item x="21"/>
        <item x="74"/>
        <item x="108"/>
        <item x="25"/>
        <item x="185"/>
        <item x="160"/>
        <item x="329"/>
        <item x="314"/>
        <item x="378"/>
        <item x="172"/>
        <item x="96"/>
        <item x="62"/>
        <item x="264"/>
        <item x="280"/>
        <item x="355"/>
        <item x="95"/>
        <item x="213"/>
        <item x="132"/>
        <item x="168"/>
        <item x="259"/>
        <item x="361"/>
        <item x="60"/>
        <item x="256"/>
        <item x="91"/>
        <item x="44"/>
        <item x="363"/>
        <item x="104"/>
        <item x="210"/>
        <item x="226"/>
        <item x="144"/>
        <item x="110"/>
        <item x="141"/>
        <item x="166"/>
        <item x="359"/>
        <item x="255"/>
        <item x="362"/>
        <item x="45"/>
        <item x="34"/>
        <item x="318"/>
        <item x="193"/>
        <item x="18"/>
        <item x="220"/>
        <item x="343"/>
        <item x="157"/>
        <item t="default"/>
      </items>
    </pivotField>
    <pivotField showAll="0">
      <items count="5">
        <item x="2"/>
        <item x="1"/>
        <item x="0"/>
        <item x="3"/>
        <item t="default"/>
      </items>
    </pivotField>
    <pivotField showAll="0">
      <items count="13">
        <item x="9"/>
        <item x="11"/>
        <item x="10"/>
        <item x="3"/>
        <item x="5"/>
        <item x="1"/>
        <item x="7"/>
        <item x="6"/>
        <item x="8"/>
        <item x="2"/>
        <item x="0"/>
        <item x="4"/>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2"/>
  </rowFields>
  <rowItems count="3">
    <i>
      <x/>
    </i>
    <i>
      <x v="1"/>
    </i>
    <i>
      <x v="2"/>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F2519DD-420C-4D4B-B926-5C236BE0644F}" sourceName="Year">
  <pivotTables>
    <pivotTable tabId="2" name="Monthly Sale"/>
    <pivotTable tabId="2" name="Category"/>
    <pivotTable tabId="2" name="Monthly Profit"/>
    <pivotTable tabId="2" name="Monthly Quantity"/>
    <pivotTable tabId="2" name="Segment"/>
    <pivotTable tabId="2" name="Ship Mode"/>
    <pivotTable tabId="2" name="Sub-Category"/>
  </pivotTables>
  <data>
    <tabular pivotCacheId="79349776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802892-C18C-4777-B8B9-94D6A3422CA9}" sourceName="Region">
  <pivotTables>
    <pivotTable tabId="2" name="Monthly Sale"/>
    <pivotTable tabId="2" name="Category"/>
    <pivotTable tabId="2" name="Monthly Profit"/>
    <pivotTable tabId="2" name="Monthly Quantity"/>
    <pivotTable tabId="2" name="Segment"/>
    <pivotTable tabId="2" name="Ship Mode"/>
    <pivotTable tabId="2" name="Sub-Category"/>
    <pivotTable tabId="2" name="Yearwise Sales"/>
  </pivotTables>
  <data>
    <tabular pivotCacheId="79349776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F05E00F-51A8-4FA9-956F-6A9737823730}" sourceName="Segment">
  <pivotTables>
    <pivotTable tabId="2" name="Ship Mode"/>
    <pivotTable tabId="2" name="Category"/>
    <pivotTable tabId="2" name="Monthly Profit"/>
    <pivotTable tabId="2" name="Monthly Quantity"/>
    <pivotTable tabId="2" name="Monthly Sale"/>
    <pivotTable tabId="2" name="Sub-Category"/>
    <pivotTable tabId="2" name="Yearwise Sales"/>
  </pivotTables>
  <data>
    <tabular pivotCacheId="79349776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84BC956-68E0-4C5C-8FDD-86DD815F0F51}" sourceName="Month">
  <pivotTables>
    <pivotTable tabId="2" name="Monthly Sale"/>
    <pivotTable tabId="2" name="Category"/>
    <pivotTable tabId="2" name="Monthly Profit"/>
    <pivotTable tabId="2" name="Ship Mode"/>
    <pivotTable tabId="2" name="Sub-Category"/>
    <pivotTable tabId="2" name="Yearwise Sales"/>
    <pivotTable tabId="2" name="Segment"/>
  </pivotTables>
  <data>
    <tabular pivotCacheId="793497766">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95373BF-5364-4E42-B136-BBA331E4D749}" cache="Slicer_Year" caption="Year" columnCount="2" style="SlicerStyleLight1 2" rowHeight="234950"/>
  <slicer name="Region" xr10:uid="{D3D04E33-E6AB-4081-BD05-6F691144E4EC}" cache="Slicer_Region" caption="Region" style="SlicerStyleLight1 2" rowHeight="234950"/>
  <slicer name="Segment" xr10:uid="{20F27EC0-8DE6-4C16-9B3C-3F3A7ED326BE}" cache="Slicer_Segment" caption="Segment" style="SlicerStyleLight1 2" rowHeight="234950"/>
  <slicer name="Month" xr10:uid="{C035BA4B-A71E-4B9D-AC75-F86D33E36972}" cache="Slicer_Month" caption="Month" columnCount="12" showCaption="0" style="SlicerStyleLight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E06E8-C447-4EE0-BBC6-1ED26F4E0520}">
  <dimension ref="A1:BH20"/>
  <sheetViews>
    <sheetView zoomScale="90" zoomScaleNormal="124" workbookViewId="0">
      <selection activeCell="G34" sqref="G34"/>
    </sheetView>
  </sheetViews>
  <sheetFormatPr defaultRowHeight="14.4" x14ac:dyDescent="0.3"/>
  <cols>
    <col min="1" max="1" width="13.44140625" bestFit="1" customWidth="1"/>
    <col min="2" max="2" width="12.109375" bestFit="1" customWidth="1"/>
    <col min="3" max="3" width="11.6640625" bestFit="1" customWidth="1"/>
    <col min="5" max="5" width="10.6640625" customWidth="1"/>
    <col min="6" max="6" width="0.6640625" customWidth="1"/>
    <col min="7" max="7" width="0.6640625" style="4" customWidth="1"/>
    <col min="8" max="8" width="0.6640625" customWidth="1"/>
    <col min="9" max="9" width="13.6640625" bestFit="1" customWidth="1"/>
    <col min="10" max="10" width="12.109375" bestFit="1" customWidth="1"/>
    <col min="11" max="11" width="2.6640625" customWidth="1"/>
    <col min="12" max="12" width="12.77734375" bestFit="1" customWidth="1"/>
    <col min="13" max="13" width="9" bestFit="1" customWidth="1"/>
    <col min="14" max="14" width="0.6640625" customWidth="1"/>
    <col min="15" max="15" width="0.6640625" style="4" customWidth="1"/>
    <col min="16" max="16" width="0.77734375" customWidth="1"/>
    <col min="17" max="17" width="13.44140625" bestFit="1" customWidth="1"/>
    <col min="18" max="18" width="12.109375" bestFit="1" customWidth="1"/>
    <col min="19" max="19" width="2.44140625" customWidth="1"/>
    <col min="20" max="20" width="5.6640625" bestFit="1" customWidth="1"/>
    <col min="21" max="21" width="11.33203125" bestFit="1" customWidth="1"/>
    <col min="22" max="22" width="10" customWidth="1"/>
    <col min="23" max="23" width="0.6640625" customWidth="1"/>
    <col min="24" max="24" width="0.77734375" style="4" customWidth="1"/>
    <col min="25" max="25" width="0.6640625" customWidth="1"/>
    <col min="26" max="26" width="13.44140625" bestFit="1" customWidth="1"/>
    <col min="27" max="27" width="12.109375" bestFit="1" customWidth="1"/>
    <col min="28" max="28" width="2.88671875" customWidth="1"/>
    <col min="29" max="29" width="5.5546875" bestFit="1" customWidth="1"/>
    <col min="32" max="32" width="0.5546875" customWidth="1"/>
    <col min="33" max="33" width="0.6640625" style="4" customWidth="1"/>
    <col min="34" max="34" width="0.6640625" customWidth="1"/>
    <col min="35" max="35" width="13.44140625" bestFit="1" customWidth="1"/>
    <col min="36" max="36" width="12.109375" bestFit="1" customWidth="1"/>
    <col min="37" max="37" width="3.33203125" customWidth="1"/>
    <col min="39" max="39" width="8.33203125" customWidth="1"/>
    <col min="40" max="40" width="0.77734375" customWidth="1"/>
    <col min="41" max="41" width="0.77734375" style="4" customWidth="1"/>
    <col min="42" max="42" width="0.88671875" customWidth="1"/>
    <col min="43" max="43" width="13.44140625" bestFit="1" customWidth="1"/>
    <col min="44" max="44" width="15.44140625" bestFit="1" customWidth="1"/>
    <col min="45" max="45" width="3" customWidth="1"/>
    <col min="46" max="46" width="13.44140625" bestFit="1" customWidth="1"/>
    <col min="47" max="47" width="12.44140625" bestFit="1" customWidth="1"/>
    <col min="48" max="48" width="0.77734375" customWidth="1"/>
    <col min="49" max="49" width="0.77734375" style="4" customWidth="1"/>
    <col min="50" max="50" width="0.88671875" customWidth="1"/>
    <col min="51" max="51" width="10.21875" bestFit="1" customWidth="1"/>
    <col min="52" max="52" width="12.88671875" bestFit="1" customWidth="1"/>
    <col min="53" max="53" width="0.77734375" customWidth="1"/>
    <col min="54" max="54" width="0.77734375" style="4" customWidth="1"/>
    <col min="55" max="55" width="0.88671875" customWidth="1"/>
    <col min="56" max="56" width="13.6640625" bestFit="1" customWidth="1"/>
    <col min="57" max="57" width="12.109375" bestFit="1" customWidth="1"/>
    <col min="58" max="58" width="5.33203125" bestFit="1" customWidth="1"/>
  </cols>
  <sheetData>
    <row r="1" spans="1:60" x14ac:dyDescent="0.3">
      <c r="Q1" t="s">
        <v>1823</v>
      </c>
      <c r="Z1" t="s">
        <v>1817</v>
      </c>
      <c r="BD1" t="s">
        <v>1816</v>
      </c>
    </row>
    <row r="2" spans="1:60" x14ac:dyDescent="0.3">
      <c r="Q2" t="str">
        <f ca="1">VLOOKUP(1,T:V,2,0)</f>
        <v>Consumer</v>
      </c>
      <c r="Z2" t="str">
        <f ca="1">VLOOKUP(1,AC:AE,2,0)</f>
        <v>Machines</v>
      </c>
      <c r="BD2" t="str">
        <f ca="1">VLOOKUP(1,$BF$3:$BH$5,2,0)</f>
        <v>Technology</v>
      </c>
    </row>
    <row r="3" spans="1:60" x14ac:dyDescent="0.3">
      <c r="A3" s="2" t="s">
        <v>1814</v>
      </c>
      <c r="B3" t="s">
        <v>1815</v>
      </c>
      <c r="D3" t="str" cm="1">
        <f t="array" aca="1" ref="D3:D14" ca="1">OFFSET($A$3,1,0,(COUNT($B:$B)))</f>
        <v>Jan</v>
      </c>
      <c r="E3" cm="1">
        <f t="array" aca="1" ref="E3:E14" ca="1">OFFSET($A$3,1,1,(COUNT($B:$B)))</f>
        <v>13953.069999999994</v>
      </c>
      <c r="I3" s="2" t="s">
        <v>1814</v>
      </c>
      <c r="J3" t="s">
        <v>1815</v>
      </c>
      <c r="L3" t="str" cm="1">
        <f t="array" aca="1" ref="L3:L6" ca="1">OFFSET($I$3,1,0,COUNT(J:J))</f>
        <v>First Class</v>
      </c>
      <c r="M3" cm="1">
        <f t="array" aca="1" ref="M3:M6" ca="1">OFFSET($I$3,1,1,COUNT(J:J))</f>
        <v>37090.219999999994</v>
      </c>
      <c r="Q3" s="2" t="s">
        <v>1814</v>
      </c>
      <c r="R3" t="s">
        <v>1815</v>
      </c>
      <c r="T3" s="5">
        <f ca="1">RANK(V3,_xlfn.ANCHORARRAY(V3))</f>
        <v>1</v>
      </c>
      <c r="U3" t="str" cm="1">
        <f t="array" aca="1" ref="U3:U5" ca="1">OFFSET($Q$3,1,0,COUNT(R:R))</f>
        <v>Consumer</v>
      </c>
      <c r="V3" cm="1">
        <f t="array" aca="1" ref="V3:V5" ca="1">OFFSET($Q$3,1,1,COUNT(R:R))</f>
        <v>122726.3300000001</v>
      </c>
      <c r="Z3" s="2" t="s">
        <v>1814</v>
      </c>
      <c r="AA3" t="s">
        <v>1815</v>
      </c>
      <c r="AC3" s="5">
        <f ca="1">RANK(AE3,_xlfn.ANCHORARRAY($AE$3))</f>
        <v>5</v>
      </c>
      <c r="AD3" t="str" cm="1">
        <f t="array" aca="1" ref="AD3:AD19" ca="1">OFFSET($Z$3,1,0,COUNT($AA:$AA))</f>
        <v>Accessories</v>
      </c>
      <c r="AE3" cm="1">
        <f t="array" aca="1" ref="AE3:AE19" ca="1">OFFSET($Z$3,1,1,COUNT($AA:$AA))</f>
        <v>22791.03</v>
      </c>
      <c r="AI3" s="2" t="s">
        <v>1814</v>
      </c>
      <c r="AJ3" t="s">
        <v>1815</v>
      </c>
      <c r="AL3" cm="1">
        <f t="array" aca="1" ref="AL3:AL6" ca="1">OFFSET($AI$3,1,0,COUNT($AJ:$AJ))</f>
        <v>2011</v>
      </c>
      <c r="AM3" cm="1">
        <f t="array" aca="1" ref="AM3:AM6" ca="1">OFFSET($AI$3,1,1,COUNT($AJ:$AJ))</f>
        <v>68527.27</v>
      </c>
      <c r="AQ3" s="2" t="s">
        <v>1814</v>
      </c>
      <c r="AR3" t="s">
        <v>1819</v>
      </c>
      <c r="AT3" s="2" t="s">
        <v>1814</v>
      </c>
      <c r="AU3" t="s">
        <v>1820</v>
      </c>
      <c r="AY3" t="s">
        <v>1818</v>
      </c>
      <c r="AZ3" s="7">
        <f>SUM(AJ:AJ)</f>
        <v>245346.88</v>
      </c>
      <c r="BD3" s="2" t="s">
        <v>1814</v>
      </c>
      <c r="BE3" t="s">
        <v>1815</v>
      </c>
      <c r="BF3" s="5">
        <f ca="1">RANK(BH3,_xlfn.ANCHORARRAY($BH$3))</f>
        <v>2</v>
      </c>
      <c r="BG3" t="str" cm="1">
        <f t="array" aca="1" ref="BG3:BG5" ca="1">OFFSET($BD$3,1,0,COUNT($BE:$BE))</f>
        <v>Furniture</v>
      </c>
      <c r="BH3" cm="1">
        <f t="array" aca="1" ref="BH3:BH5" ca="1">OFFSET($BD$3,1,1,COUNT($BE:$BE))</f>
        <v>80468.400000000038</v>
      </c>
    </row>
    <row r="4" spans="1:60" x14ac:dyDescent="0.3">
      <c r="A4" s="3" t="s">
        <v>129</v>
      </c>
      <c r="B4">
        <v>13953.069999999994</v>
      </c>
      <c r="D4" t="str">
        <f ca="1"/>
        <v>Feb</v>
      </c>
      <c r="E4">
        <f ca="1"/>
        <v>2404.4</v>
      </c>
      <c r="I4" s="3" t="s">
        <v>151</v>
      </c>
      <c r="J4">
        <v>37090.219999999994</v>
      </c>
      <c r="L4" t="str">
        <f ca="1"/>
        <v>Same Day</v>
      </c>
      <c r="M4">
        <f ca="1"/>
        <v>17408.780000000002</v>
      </c>
      <c r="Q4" s="3" t="s">
        <v>22</v>
      </c>
      <c r="R4">
        <v>122726.3300000001</v>
      </c>
      <c r="T4" s="5">
        <f ca="1">RANK(V4,_xlfn.ANCHORARRAY(V3))</f>
        <v>2</v>
      </c>
      <c r="U4" t="str">
        <f ca="1"/>
        <v>Corporate</v>
      </c>
      <c r="V4">
        <f ca="1"/>
        <v>70821.330000000031</v>
      </c>
      <c r="Z4" s="3" t="s">
        <v>133</v>
      </c>
      <c r="AA4">
        <v>22791.03</v>
      </c>
      <c r="AC4" s="5">
        <f t="shared" ref="AC4:AC19" ca="1" si="0">RANK(AE4,_xlfn.ANCHORARRAY($AE$3))</f>
        <v>11</v>
      </c>
      <c r="AD4" t="str">
        <f ca="1"/>
        <v>Appliances</v>
      </c>
      <c r="AE4">
        <f ca="1"/>
        <v>8369.869999999999</v>
      </c>
      <c r="AI4" s="3">
        <v>2011</v>
      </c>
      <c r="AJ4">
        <v>68527.27</v>
      </c>
      <c r="AL4">
        <f ca="1"/>
        <v>2012</v>
      </c>
      <c r="AM4">
        <f ca="1"/>
        <v>50551.409999999989</v>
      </c>
      <c r="AQ4" s="3" t="s">
        <v>129</v>
      </c>
      <c r="AR4">
        <v>180</v>
      </c>
      <c r="AT4" s="3" t="s">
        <v>129</v>
      </c>
      <c r="AU4">
        <v>1467.42</v>
      </c>
      <c r="AY4" t="s">
        <v>1821</v>
      </c>
      <c r="AZ4" s="7">
        <f>SUM(AU:AU)</f>
        <v>19396.41</v>
      </c>
      <c r="BD4" s="3" t="s">
        <v>27</v>
      </c>
      <c r="BE4">
        <v>80468.400000000038</v>
      </c>
      <c r="BF4" s="5">
        <f t="shared" ref="BF4:BF5" ca="1" si="1">RANK(BH4,_xlfn.ANCHORARRAY($BH$3))</f>
        <v>3</v>
      </c>
      <c r="BG4" t="str">
        <f ca="1"/>
        <v>Office Supplies</v>
      </c>
      <c r="BH4">
        <f ca="1"/>
        <v>68973.01999999996</v>
      </c>
    </row>
    <row r="5" spans="1:60" x14ac:dyDescent="0.3">
      <c r="A5" s="3" t="s">
        <v>389</v>
      </c>
      <c r="B5">
        <v>2404.4</v>
      </c>
      <c r="D5" t="str">
        <f ca="1"/>
        <v>Mar</v>
      </c>
      <c r="E5">
        <f ca="1"/>
        <v>12068.1</v>
      </c>
      <c r="I5" s="3" t="s">
        <v>828</v>
      </c>
      <c r="J5">
        <v>17408.780000000002</v>
      </c>
      <c r="L5" t="str">
        <f ca="1"/>
        <v>Second Class</v>
      </c>
      <c r="M5">
        <f ca="1"/>
        <v>49014.079999999994</v>
      </c>
      <c r="Q5" s="3" t="s">
        <v>36</v>
      </c>
      <c r="R5">
        <v>70821.330000000031</v>
      </c>
      <c r="T5" s="5">
        <f ca="1">RANK(V5,V3:V6)</f>
        <v>3</v>
      </c>
      <c r="U5" t="str">
        <f ca="1"/>
        <v>Home Office</v>
      </c>
      <c r="V5">
        <f ca="1"/>
        <v>51799.22</v>
      </c>
      <c r="Z5" s="3" t="s">
        <v>64</v>
      </c>
      <c r="AA5">
        <v>8369.869999999999</v>
      </c>
      <c r="AC5" s="5">
        <f t="shared" ca="1" si="0"/>
        <v>13</v>
      </c>
      <c r="AD5" t="str">
        <f ca="1"/>
        <v>Art</v>
      </c>
      <c r="AE5">
        <f ca="1"/>
        <v>3902.1200000000003</v>
      </c>
      <c r="AI5" s="3">
        <v>2012</v>
      </c>
      <c r="AJ5">
        <v>50551.409999999989</v>
      </c>
      <c r="AL5">
        <f ca="1"/>
        <v>2013</v>
      </c>
      <c r="AM5">
        <f ca="1"/>
        <v>65721.279999999984</v>
      </c>
      <c r="AQ5" s="3" t="s">
        <v>389</v>
      </c>
      <c r="AR5">
        <v>62</v>
      </c>
      <c r="AT5" s="3" t="s">
        <v>389</v>
      </c>
      <c r="AU5">
        <v>437.15000000000003</v>
      </c>
      <c r="AY5" t="s">
        <v>1822</v>
      </c>
      <c r="AZ5" s="6">
        <f>AZ4/AZ3</f>
        <v>7.9057088478157941E-2</v>
      </c>
      <c r="BD5" s="3" t="s">
        <v>40</v>
      </c>
      <c r="BE5">
        <v>68973.01999999996</v>
      </c>
      <c r="BF5" s="5">
        <f t="shared" ca="1" si="1"/>
        <v>1</v>
      </c>
      <c r="BG5" t="str">
        <f ca="1"/>
        <v>Technology</v>
      </c>
      <c r="BH5">
        <f ca="1"/>
        <v>95905.460000000021</v>
      </c>
    </row>
    <row r="6" spans="1:60" x14ac:dyDescent="0.3">
      <c r="A6" s="3" t="s">
        <v>177</v>
      </c>
      <c r="B6">
        <v>12068.1</v>
      </c>
      <c r="D6" t="str">
        <f ca="1"/>
        <v>Apr</v>
      </c>
      <c r="E6">
        <f ca="1"/>
        <v>13714.959999999994</v>
      </c>
      <c r="I6" s="3" t="s">
        <v>20</v>
      </c>
      <c r="J6">
        <v>49014.079999999994</v>
      </c>
      <c r="L6" t="str">
        <f ca="1"/>
        <v>Standard Class</v>
      </c>
      <c r="M6">
        <f ca="1"/>
        <v>141833.80000000016</v>
      </c>
      <c r="Q6" s="3" t="s">
        <v>84</v>
      </c>
      <c r="R6">
        <v>51799.22</v>
      </c>
      <c r="Z6" s="3" t="s">
        <v>57</v>
      </c>
      <c r="AA6">
        <v>3902.1200000000003</v>
      </c>
      <c r="AC6" s="5">
        <f t="shared" ca="1" si="0"/>
        <v>7</v>
      </c>
      <c r="AD6" t="str">
        <f ca="1"/>
        <v>Binders</v>
      </c>
      <c r="AE6">
        <f ca="1"/>
        <v>21416.959999999999</v>
      </c>
      <c r="AI6" s="3">
        <v>2013</v>
      </c>
      <c r="AJ6">
        <v>65721.279999999984</v>
      </c>
      <c r="AL6">
        <f ca="1"/>
        <v>2014</v>
      </c>
      <c r="AM6">
        <f ca="1"/>
        <v>60546.920000000042</v>
      </c>
      <c r="AQ6" s="3" t="s">
        <v>177</v>
      </c>
      <c r="AR6">
        <v>143</v>
      </c>
      <c r="AT6" s="3" t="s">
        <v>177</v>
      </c>
      <c r="AU6">
        <v>3453.7800000000007</v>
      </c>
      <c r="BD6" s="3" t="s">
        <v>59</v>
      </c>
      <c r="BE6">
        <v>95905.460000000021</v>
      </c>
    </row>
    <row r="7" spans="1:60" x14ac:dyDescent="0.3">
      <c r="A7" s="3" t="s">
        <v>69</v>
      </c>
      <c r="B7">
        <v>13714.959999999994</v>
      </c>
      <c r="D7" t="str">
        <f ca="1"/>
        <v>May</v>
      </c>
      <c r="E7">
        <f ca="1"/>
        <v>15697.449999999997</v>
      </c>
      <c r="I7" s="3" t="s">
        <v>45</v>
      </c>
      <c r="J7">
        <v>141833.80000000016</v>
      </c>
      <c r="Z7" s="3" t="s">
        <v>62</v>
      </c>
      <c r="AA7">
        <v>21416.959999999999</v>
      </c>
      <c r="AC7" s="5">
        <f t="shared" ca="1" si="0"/>
        <v>8</v>
      </c>
      <c r="AD7" t="str">
        <f ca="1"/>
        <v>Bookcases</v>
      </c>
      <c r="AE7">
        <f ca="1"/>
        <v>13834.999999999998</v>
      </c>
      <c r="AI7" s="3">
        <v>2014</v>
      </c>
      <c r="AJ7">
        <v>60546.920000000042</v>
      </c>
      <c r="AQ7" s="3" t="s">
        <v>69</v>
      </c>
      <c r="AR7">
        <v>303</v>
      </c>
      <c r="AT7" s="3" t="s">
        <v>69</v>
      </c>
      <c r="AU7">
        <v>-1068.57</v>
      </c>
    </row>
    <row r="8" spans="1:60" x14ac:dyDescent="0.3">
      <c r="A8" s="3" t="s">
        <v>96</v>
      </c>
      <c r="B8">
        <v>15697.449999999997</v>
      </c>
      <c r="D8" t="str">
        <f ca="1"/>
        <v>Jun</v>
      </c>
      <c r="E8">
        <f ca="1"/>
        <v>24409.919999999991</v>
      </c>
      <c r="Z8" s="3" t="s">
        <v>28</v>
      </c>
      <c r="AA8">
        <v>13834.999999999998</v>
      </c>
      <c r="AC8" s="5">
        <f t="shared" ca="1" si="0"/>
        <v>3</v>
      </c>
      <c r="AD8" t="str">
        <f ca="1"/>
        <v>Chairs</v>
      </c>
      <c r="AE8">
        <f ca="1"/>
        <v>30809.119999999988</v>
      </c>
      <c r="AQ8" s="3" t="s">
        <v>96</v>
      </c>
      <c r="AR8">
        <v>226</v>
      </c>
      <c r="AT8" s="3" t="s">
        <v>96</v>
      </c>
      <c r="AU8">
        <v>3984.2500000000005</v>
      </c>
    </row>
    <row r="9" spans="1:60" x14ac:dyDescent="0.3">
      <c r="A9" s="3" t="s">
        <v>33</v>
      </c>
      <c r="B9">
        <v>24409.919999999991</v>
      </c>
      <c r="D9" t="str">
        <f ca="1"/>
        <v>Jul</v>
      </c>
      <c r="E9">
        <f ca="1"/>
        <v>10339.07</v>
      </c>
      <c r="Z9" s="3" t="s">
        <v>30</v>
      </c>
      <c r="AA9">
        <v>30809.119999999988</v>
      </c>
      <c r="AC9" s="5">
        <f t="shared" ca="1" si="0"/>
        <v>10</v>
      </c>
      <c r="AD9" t="str">
        <f ca="1"/>
        <v>Copiers</v>
      </c>
      <c r="AE9">
        <f ca="1"/>
        <v>9359.8399999999983</v>
      </c>
      <c r="AQ9" s="3" t="s">
        <v>33</v>
      </c>
      <c r="AR9">
        <v>454</v>
      </c>
      <c r="AT9" s="3" t="s">
        <v>33</v>
      </c>
      <c r="AU9">
        <v>3188.2199999999993</v>
      </c>
    </row>
    <row r="10" spans="1:60" x14ac:dyDescent="0.3">
      <c r="A10" s="3" t="s">
        <v>116</v>
      </c>
      <c r="B10">
        <v>10339.07</v>
      </c>
      <c r="D10" t="str">
        <f ca="1"/>
        <v>Aug</v>
      </c>
      <c r="E10">
        <f ca="1"/>
        <v>13662.509999999998</v>
      </c>
      <c r="Z10" s="3" t="s">
        <v>780</v>
      </c>
      <c r="AA10">
        <v>9359.8399999999983</v>
      </c>
      <c r="AC10" s="5">
        <f t="shared" ca="1" si="0"/>
        <v>15</v>
      </c>
      <c r="AD10" t="str">
        <f ca="1"/>
        <v>Envelopes</v>
      </c>
      <c r="AE10">
        <f ca="1"/>
        <v>2116.41</v>
      </c>
      <c r="AQ10" s="3" t="s">
        <v>116</v>
      </c>
      <c r="AR10">
        <v>188</v>
      </c>
      <c r="AT10" s="3" t="s">
        <v>116</v>
      </c>
      <c r="AU10">
        <v>1039.1500000000001</v>
      </c>
    </row>
    <row r="11" spans="1:60" x14ac:dyDescent="0.3">
      <c r="A11" s="3" t="s">
        <v>103</v>
      </c>
      <c r="B11">
        <v>13662.509999999998</v>
      </c>
      <c r="D11" t="str">
        <f ca="1"/>
        <v>Sep</v>
      </c>
      <c r="E11">
        <f ca="1"/>
        <v>52116.079999999994</v>
      </c>
      <c r="Z11" s="3" t="s">
        <v>141</v>
      </c>
      <c r="AA11">
        <v>2116.41</v>
      </c>
      <c r="AC11" s="5">
        <f t="shared" ca="1" si="0"/>
        <v>17</v>
      </c>
      <c r="AD11" t="str">
        <f ca="1"/>
        <v>Fasteners</v>
      </c>
      <c r="AE11">
        <f ca="1"/>
        <v>381.66</v>
      </c>
      <c r="AQ11" s="3" t="s">
        <v>103</v>
      </c>
      <c r="AR11">
        <v>279</v>
      </c>
      <c r="AT11" s="3" t="s">
        <v>103</v>
      </c>
      <c r="AU11">
        <v>970.76999999999987</v>
      </c>
    </row>
    <row r="12" spans="1:60" x14ac:dyDescent="0.3">
      <c r="A12" s="3" t="s">
        <v>124</v>
      </c>
      <c r="B12">
        <v>52116.079999999994</v>
      </c>
      <c r="D12" t="str">
        <f ca="1"/>
        <v>Oct</v>
      </c>
      <c r="E12">
        <f ca="1"/>
        <v>16506.089999999997</v>
      </c>
      <c r="Z12" s="3" t="s">
        <v>210</v>
      </c>
      <c r="AA12">
        <v>381.66</v>
      </c>
      <c r="AC12" s="5">
        <f t="shared" ca="1" si="0"/>
        <v>9</v>
      </c>
      <c r="AD12" t="str">
        <f ca="1"/>
        <v>Furnishings</v>
      </c>
      <c r="AE12">
        <f ca="1"/>
        <v>10256.889999999998</v>
      </c>
      <c r="AQ12" s="3" t="s">
        <v>124</v>
      </c>
      <c r="AR12">
        <v>506</v>
      </c>
      <c r="AT12" s="3" t="s">
        <v>124</v>
      </c>
      <c r="AU12">
        <v>-40.069999999999482</v>
      </c>
    </row>
    <row r="13" spans="1:60" x14ac:dyDescent="0.3">
      <c r="A13" s="3" t="s">
        <v>43</v>
      </c>
      <c r="B13">
        <v>16506.089999999997</v>
      </c>
      <c r="D13" t="str">
        <f ca="1"/>
        <v>Nov</v>
      </c>
      <c r="E13">
        <f ca="1"/>
        <v>35391.319999999992</v>
      </c>
      <c r="Z13" s="3" t="s">
        <v>55</v>
      </c>
      <c r="AA13">
        <v>10256.889999999998</v>
      </c>
      <c r="AC13" s="5">
        <f t="shared" ca="1" si="0"/>
        <v>16</v>
      </c>
      <c r="AD13" t="str">
        <f ca="1"/>
        <v>Labels</v>
      </c>
      <c r="AE13">
        <f ca="1"/>
        <v>1534.34</v>
      </c>
      <c r="AQ13" s="3" t="s">
        <v>43</v>
      </c>
      <c r="AR13">
        <v>377</v>
      </c>
      <c r="AT13" s="3" t="s">
        <v>43</v>
      </c>
      <c r="AU13">
        <v>2178.4899999999989</v>
      </c>
    </row>
    <row r="14" spans="1:60" x14ac:dyDescent="0.3">
      <c r="A14" s="3" t="s">
        <v>19</v>
      </c>
      <c r="B14">
        <v>35391.319999999992</v>
      </c>
      <c r="D14" t="str">
        <f ca="1"/>
        <v>Dec</v>
      </c>
      <c r="E14">
        <f ca="1"/>
        <v>35083.909999999989</v>
      </c>
      <c r="Z14" s="3" t="s">
        <v>41</v>
      </c>
      <c r="AA14">
        <v>1534.34</v>
      </c>
      <c r="AC14" s="5">
        <f t="shared" ca="1" si="0"/>
        <v>1</v>
      </c>
      <c r="AD14" t="str">
        <f ca="1"/>
        <v>Machines</v>
      </c>
      <c r="AE14">
        <f ca="1"/>
        <v>32622.12</v>
      </c>
      <c r="AQ14" s="3" t="s">
        <v>19</v>
      </c>
      <c r="AR14">
        <v>495</v>
      </c>
      <c r="AT14" s="3" t="s">
        <v>19</v>
      </c>
      <c r="AU14">
        <v>275.6099999999995</v>
      </c>
    </row>
    <row r="15" spans="1:60" x14ac:dyDescent="0.3">
      <c r="A15" s="3" t="s">
        <v>76</v>
      </c>
      <c r="B15">
        <v>35083.909999999989</v>
      </c>
      <c r="Z15" s="3" t="s">
        <v>465</v>
      </c>
      <c r="AA15">
        <v>32622.12</v>
      </c>
      <c r="AC15" s="5">
        <f t="shared" ca="1" si="0"/>
        <v>12</v>
      </c>
      <c r="AD15" t="str">
        <f ca="1"/>
        <v>Paper</v>
      </c>
      <c r="AE15">
        <f ca="1"/>
        <v>6565.7099999999982</v>
      </c>
      <c r="AQ15" s="3" t="s">
        <v>76</v>
      </c>
      <c r="AR15">
        <v>629</v>
      </c>
      <c r="AT15" s="3" t="s">
        <v>76</v>
      </c>
      <c r="AU15">
        <v>3510.2100000000005</v>
      </c>
    </row>
    <row r="16" spans="1:60" x14ac:dyDescent="0.3">
      <c r="Z16" s="3" t="s">
        <v>74</v>
      </c>
      <c r="AA16">
        <v>6565.7099999999982</v>
      </c>
      <c r="AC16" s="5">
        <f t="shared" ca="1" si="0"/>
        <v>2</v>
      </c>
      <c r="AD16" t="str">
        <f ca="1"/>
        <v>Phones</v>
      </c>
      <c r="AE16">
        <f ca="1"/>
        <v>31132.47</v>
      </c>
    </row>
    <row r="17" spans="26:31" x14ac:dyDescent="0.3">
      <c r="Z17" s="3" t="s">
        <v>60</v>
      </c>
      <c r="AA17">
        <v>31132.47</v>
      </c>
      <c r="AC17" s="5">
        <f t="shared" ca="1" si="0"/>
        <v>6</v>
      </c>
      <c r="AD17" t="str">
        <f ca="1"/>
        <v>Storage</v>
      </c>
      <c r="AE17">
        <f ca="1"/>
        <v>22294.300000000003</v>
      </c>
    </row>
    <row r="18" spans="26:31" x14ac:dyDescent="0.3">
      <c r="Z18" s="3" t="s">
        <v>51</v>
      </c>
      <c r="AA18">
        <v>22294.300000000003</v>
      </c>
      <c r="AC18" s="5">
        <f t="shared" ca="1" si="0"/>
        <v>14</v>
      </c>
      <c r="AD18" t="str">
        <f ca="1"/>
        <v>Supplies</v>
      </c>
      <c r="AE18">
        <f ca="1"/>
        <v>2391.6500000000005</v>
      </c>
    </row>
    <row r="19" spans="26:31" x14ac:dyDescent="0.3">
      <c r="Z19" s="3" t="s">
        <v>402</v>
      </c>
      <c r="AA19">
        <v>2391.6500000000005</v>
      </c>
      <c r="AC19" s="5">
        <f t="shared" ca="1" si="0"/>
        <v>4</v>
      </c>
      <c r="AD19" t="str">
        <f ca="1"/>
        <v>Tables</v>
      </c>
      <c r="AE19">
        <f ca="1"/>
        <v>25567.389999999989</v>
      </c>
    </row>
    <row r="20" spans="26:31" x14ac:dyDescent="0.3">
      <c r="Z20" s="3" t="s">
        <v>49</v>
      </c>
      <c r="AA20">
        <v>25567.389999999989</v>
      </c>
    </row>
  </sheetData>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2FB78-5A97-4C35-B9D2-6D6B82D1D77B}">
  <dimension ref="A1:S1011"/>
  <sheetViews>
    <sheetView workbookViewId="0">
      <selection activeCell="T10" sqref="T10"/>
    </sheetView>
  </sheetViews>
  <sheetFormatPr defaultRowHeight="14.4" x14ac:dyDescent="0.3"/>
  <cols>
    <col min="1" max="1" width="10.5546875" bestFit="1" customWidth="1"/>
    <col min="2" max="2" width="5" bestFit="1" customWidth="1"/>
    <col min="3" max="3" width="6.44140625" bestFit="1" customWidth="1"/>
    <col min="4" max="4" width="10.5546875" bestFit="1" customWidth="1"/>
    <col min="5" max="5" width="14.21875" bestFit="1" customWidth="1"/>
    <col min="7" max="7" width="19.77734375" bestFit="1" customWidth="1"/>
    <col min="9" max="9" width="11.88671875" bestFit="1" customWidth="1"/>
    <col min="10" max="10" width="15.5546875" bestFit="1" customWidth="1"/>
    <col min="11" max="11" width="14" bestFit="1" customWidth="1"/>
    <col min="12" max="12" width="8.77734375" bestFit="1" customWidth="1"/>
    <col min="13" max="13" width="13.109375" bestFit="1" customWidth="1"/>
    <col min="16" max="16" width="8"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s="1">
        <v>41528</v>
      </c>
      <c r="B2">
        <v>2013</v>
      </c>
      <c r="C2" t="s">
        <v>19</v>
      </c>
      <c r="D2" s="1">
        <v>41619</v>
      </c>
      <c r="E2">
        <v>3</v>
      </c>
      <c r="F2" t="s">
        <v>20</v>
      </c>
      <c r="G2" t="s">
        <v>21</v>
      </c>
      <c r="H2" t="s">
        <v>22</v>
      </c>
      <c r="I2" t="s">
        <v>23</v>
      </c>
      <c r="J2" t="s">
        <v>24</v>
      </c>
      <c r="K2" t="s">
        <v>25</v>
      </c>
      <c r="L2" t="s">
        <v>26</v>
      </c>
      <c r="M2" t="s">
        <v>27</v>
      </c>
      <c r="N2" t="s">
        <v>28</v>
      </c>
      <c r="O2" t="s">
        <v>29</v>
      </c>
      <c r="P2">
        <v>261.95999999999998</v>
      </c>
      <c r="Q2">
        <v>2</v>
      </c>
      <c r="R2">
        <v>0</v>
      </c>
      <c r="S2">
        <v>41.91</v>
      </c>
    </row>
    <row r="3" spans="1:19" x14ac:dyDescent="0.3">
      <c r="A3" s="1">
        <v>41528</v>
      </c>
      <c r="B3">
        <v>2013</v>
      </c>
      <c r="C3" t="s">
        <v>19</v>
      </c>
      <c r="D3" s="1">
        <v>41619</v>
      </c>
      <c r="E3">
        <v>3</v>
      </c>
      <c r="F3" t="s">
        <v>20</v>
      </c>
      <c r="G3" t="s">
        <v>21</v>
      </c>
      <c r="H3" t="s">
        <v>22</v>
      </c>
      <c r="I3" t="s">
        <v>23</v>
      </c>
      <c r="J3" t="s">
        <v>24</v>
      </c>
      <c r="K3" t="s">
        <v>25</v>
      </c>
      <c r="L3" t="s">
        <v>26</v>
      </c>
      <c r="M3" t="s">
        <v>27</v>
      </c>
      <c r="N3" t="s">
        <v>30</v>
      </c>
      <c r="O3" t="s">
        <v>31</v>
      </c>
      <c r="P3">
        <v>731.94</v>
      </c>
      <c r="Q3">
        <v>3</v>
      </c>
      <c r="R3">
        <v>0</v>
      </c>
      <c r="S3">
        <v>219.58</v>
      </c>
    </row>
    <row r="4" spans="1:19" x14ac:dyDescent="0.3">
      <c r="A4" t="s">
        <v>32</v>
      </c>
      <c r="B4">
        <v>2013</v>
      </c>
      <c r="C4" t="s">
        <v>33</v>
      </c>
      <c r="D4" t="s">
        <v>34</v>
      </c>
      <c r="E4">
        <v>4</v>
      </c>
      <c r="F4" t="s">
        <v>20</v>
      </c>
      <c r="G4" t="s">
        <v>35</v>
      </c>
      <c r="H4" t="s">
        <v>36</v>
      </c>
      <c r="I4" t="s">
        <v>23</v>
      </c>
      <c r="J4" t="s">
        <v>37</v>
      </c>
      <c r="K4" t="s">
        <v>38</v>
      </c>
      <c r="L4" t="s">
        <v>39</v>
      </c>
      <c r="M4" t="s">
        <v>40</v>
      </c>
      <c r="N4" t="s">
        <v>41</v>
      </c>
      <c r="O4" t="s">
        <v>42</v>
      </c>
      <c r="P4">
        <v>14.62</v>
      </c>
      <c r="Q4">
        <v>2</v>
      </c>
      <c r="R4">
        <v>0</v>
      </c>
      <c r="S4">
        <v>6.87</v>
      </c>
    </row>
    <row r="5" spans="1:19" x14ac:dyDescent="0.3">
      <c r="A5" s="1">
        <v>41223</v>
      </c>
      <c r="B5">
        <v>2012</v>
      </c>
      <c r="C5" t="s">
        <v>43</v>
      </c>
      <c r="D5" t="s">
        <v>44</v>
      </c>
      <c r="E5">
        <v>7</v>
      </c>
      <c r="F5" t="s">
        <v>45</v>
      </c>
      <c r="G5" t="s">
        <v>46</v>
      </c>
      <c r="H5" t="s">
        <v>22</v>
      </c>
      <c r="I5" t="s">
        <v>23</v>
      </c>
      <c r="J5" t="s">
        <v>47</v>
      </c>
      <c r="K5" t="s">
        <v>48</v>
      </c>
      <c r="L5" t="s">
        <v>26</v>
      </c>
      <c r="M5" t="s">
        <v>27</v>
      </c>
      <c r="N5" t="s">
        <v>49</v>
      </c>
      <c r="O5" t="s">
        <v>50</v>
      </c>
      <c r="P5">
        <v>957.58</v>
      </c>
      <c r="Q5">
        <v>5</v>
      </c>
      <c r="R5">
        <v>0.45</v>
      </c>
      <c r="S5">
        <v>-383.03</v>
      </c>
    </row>
    <row r="6" spans="1:19" x14ac:dyDescent="0.3">
      <c r="A6" s="1">
        <v>41223</v>
      </c>
      <c r="B6">
        <v>2012</v>
      </c>
      <c r="C6" t="s">
        <v>43</v>
      </c>
      <c r="D6" t="s">
        <v>44</v>
      </c>
      <c r="E6">
        <v>7</v>
      </c>
      <c r="F6" t="s">
        <v>45</v>
      </c>
      <c r="G6" t="s">
        <v>46</v>
      </c>
      <c r="H6" t="s">
        <v>22</v>
      </c>
      <c r="I6" t="s">
        <v>23</v>
      </c>
      <c r="J6" t="s">
        <v>47</v>
      </c>
      <c r="K6" t="s">
        <v>48</v>
      </c>
      <c r="L6" t="s">
        <v>26</v>
      </c>
      <c r="M6" t="s">
        <v>40</v>
      </c>
      <c r="N6" t="s">
        <v>51</v>
      </c>
      <c r="O6" t="s">
        <v>52</v>
      </c>
      <c r="P6">
        <v>22.37</v>
      </c>
      <c r="Q6">
        <v>2</v>
      </c>
      <c r="R6">
        <v>0.2</v>
      </c>
      <c r="S6">
        <v>2.52</v>
      </c>
    </row>
    <row r="7" spans="1:19" x14ac:dyDescent="0.3">
      <c r="A7" s="1">
        <v>40792</v>
      </c>
      <c r="B7">
        <v>2011</v>
      </c>
      <c r="C7" t="s">
        <v>33</v>
      </c>
      <c r="D7" t="s">
        <v>53</v>
      </c>
      <c r="E7">
        <v>5</v>
      </c>
      <c r="F7" t="s">
        <v>45</v>
      </c>
      <c r="G7" t="s">
        <v>54</v>
      </c>
      <c r="H7" t="s">
        <v>22</v>
      </c>
      <c r="I7" t="s">
        <v>23</v>
      </c>
      <c r="J7" t="s">
        <v>37</v>
      </c>
      <c r="K7" t="s">
        <v>38</v>
      </c>
      <c r="L7" t="s">
        <v>39</v>
      </c>
      <c r="M7" t="s">
        <v>27</v>
      </c>
      <c r="N7" t="s">
        <v>55</v>
      </c>
      <c r="O7" t="s">
        <v>56</v>
      </c>
      <c r="P7">
        <v>48.86</v>
      </c>
      <c r="Q7">
        <v>7</v>
      </c>
      <c r="R7">
        <v>0</v>
      </c>
      <c r="S7">
        <v>14.17</v>
      </c>
    </row>
    <row r="8" spans="1:19" x14ac:dyDescent="0.3">
      <c r="A8" s="1">
        <v>40792</v>
      </c>
      <c r="B8">
        <v>2011</v>
      </c>
      <c r="C8" t="s">
        <v>33</v>
      </c>
      <c r="D8" t="s">
        <v>53</v>
      </c>
      <c r="E8">
        <v>5</v>
      </c>
      <c r="F8" t="s">
        <v>45</v>
      </c>
      <c r="G8" t="s">
        <v>54</v>
      </c>
      <c r="H8" t="s">
        <v>22</v>
      </c>
      <c r="I8" t="s">
        <v>23</v>
      </c>
      <c r="J8" t="s">
        <v>37</v>
      </c>
      <c r="K8" t="s">
        <v>38</v>
      </c>
      <c r="L8" t="s">
        <v>39</v>
      </c>
      <c r="M8" t="s">
        <v>40</v>
      </c>
      <c r="N8" t="s">
        <v>57</v>
      </c>
      <c r="O8" t="s">
        <v>58</v>
      </c>
      <c r="P8">
        <v>7.28</v>
      </c>
      <c r="Q8">
        <v>4</v>
      </c>
      <c r="R8">
        <v>0</v>
      </c>
      <c r="S8">
        <v>1.97</v>
      </c>
    </row>
    <row r="9" spans="1:19" x14ac:dyDescent="0.3">
      <c r="A9" s="1">
        <v>40792</v>
      </c>
      <c r="B9">
        <v>2011</v>
      </c>
      <c r="C9" t="s">
        <v>33</v>
      </c>
      <c r="D9" t="s">
        <v>53</v>
      </c>
      <c r="E9">
        <v>5</v>
      </c>
      <c r="F9" t="s">
        <v>45</v>
      </c>
      <c r="G9" t="s">
        <v>54</v>
      </c>
      <c r="H9" t="s">
        <v>22</v>
      </c>
      <c r="I9" t="s">
        <v>23</v>
      </c>
      <c r="J9" t="s">
        <v>37</v>
      </c>
      <c r="K9" t="s">
        <v>38</v>
      </c>
      <c r="L9" t="s">
        <v>39</v>
      </c>
      <c r="M9" t="s">
        <v>59</v>
      </c>
      <c r="N9" t="s">
        <v>60</v>
      </c>
      <c r="O9" t="s">
        <v>61</v>
      </c>
      <c r="P9">
        <v>907.15</v>
      </c>
      <c r="Q9">
        <v>6</v>
      </c>
      <c r="R9">
        <v>0.2</v>
      </c>
      <c r="S9">
        <v>90.72</v>
      </c>
    </row>
    <row r="10" spans="1:19" x14ac:dyDescent="0.3">
      <c r="A10" s="1">
        <v>40792</v>
      </c>
      <c r="B10">
        <v>2011</v>
      </c>
      <c r="C10" t="s">
        <v>33</v>
      </c>
      <c r="D10" t="s">
        <v>53</v>
      </c>
      <c r="E10">
        <v>5</v>
      </c>
      <c r="F10" t="s">
        <v>45</v>
      </c>
      <c r="G10" t="s">
        <v>54</v>
      </c>
      <c r="H10" t="s">
        <v>22</v>
      </c>
      <c r="I10" t="s">
        <v>23</v>
      </c>
      <c r="J10" t="s">
        <v>37</v>
      </c>
      <c r="K10" t="s">
        <v>38</v>
      </c>
      <c r="L10" t="s">
        <v>39</v>
      </c>
      <c r="M10" t="s">
        <v>40</v>
      </c>
      <c r="N10" t="s">
        <v>62</v>
      </c>
      <c r="O10" t="s">
        <v>63</v>
      </c>
      <c r="P10">
        <v>18.5</v>
      </c>
      <c r="Q10">
        <v>3</v>
      </c>
      <c r="R10">
        <v>0.2</v>
      </c>
      <c r="S10">
        <v>5.78</v>
      </c>
    </row>
    <row r="11" spans="1:19" x14ac:dyDescent="0.3">
      <c r="A11" s="1">
        <v>40792</v>
      </c>
      <c r="B11">
        <v>2011</v>
      </c>
      <c r="C11" t="s">
        <v>33</v>
      </c>
      <c r="D11" t="s">
        <v>53</v>
      </c>
      <c r="E11">
        <v>5</v>
      </c>
      <c r="F11" t="s">
        <v>45</v>
      </c>
      <c r="G11" t="s">
        <v>54</v>
      </c>
      <c r="H11" t="s">
        <v>22</v>
      </c>
      <c r="I11" t="s">
        <v>23</v>
      </c>
      <c r="J11" t="s">
        <v>37</v>
      </c>
      <c r="K11" t="s">
        <v>38</v>
      </c>
      <c r="L11" t="s">
        <v>39</v>
      </c>
      <c r="M11" t="s">
        <v>40</v>
      </c>
      <c r="N11" t="s">
        <v>64</v>
      </c>
      <c r="O11" t="s">
        <v>65</v>
      </c>
      <c r="P11">
        <v>114.9</v>
      </c>
      <c r="Q11">
        <v>5</v>
      </c>
      <c r="R11">
        <v>0</v>
      </c>
      <c r="S11">
        <v>34.47</v>
      </c>
    </row>
    <row r="12" spans="1:19" x14ac:dyDescent="0.3">
      <c r="A12" s="1">
        <v>40792</v>
      </c>
      <c r="B12">
        <v>2011</v>
      </c>
      <c r="C12" t="s">
        <v>33</v>
      </c>
      <c r="D12" t="s">
        <v>53</v>
      </c>
      <c r="E12">
        <v>5</v>
      </c>
      <c r="F12" t="s">
        <v>45</v>
      </c>
      <c r="G12" t="s">
        <v>54</v>
      </c>
      <c r="H12" t="s">
        <v>22</v>
      </c>
      <c r="I12" t="s">
        <v>23</v>
      </c>
      <c r="J12" t="s">
        <v>37</v>
      </c>
      <c r="K12" t="s">
        <v>38</v>
      </c>
      <c r="L12" t="s">
        <v>39</v>
      </c>
      <c r="M12" t="s">
        <v>27</v>
      </c>
      <c r="N12" t="s">
        <v>49</v>
      </c>
      <c r="O12" t="s">
        <v>66</v>
      </c>
      <c r="P12">
        <v>1706.18</v>
      </c>
      <c r="Q12">
        <v>9</v>
      </c>
      <c r="R12">
        <v>0.2</v>
      </c>
      <c r="S12">
        <v>85.31</v>
      </c>
    </row>
    <row r="13" spans="1:19" x14ac:dyDescent="0.3">
      <c r="A13" s="1">
        <v>40792</v>
      </c>
      <c r="B13">
        <v>2011</v>
      </c>
      <c r="C13" t="s">
        <v>33</v>
      </c>
      <c r="D13" t="s">
        <v>53</v>
      </c>
      <c r="E13">
        <v>5</v>
      </c>
      <c r="F13" t="s">
        <v>45</v>
      </c>
      <c r="G13" t="s">
        <v>54</v>
      </c>
      <c r="H13" t="s">
        <v>22</v>
      </c>
      <c r="I13" t="s">
        <v>23</v>
      </c>
      <c r="J13" t="s">
        <v>37</v>
      </c>
      <c r="K13" t="s">
        <v>38</v>
      </c>
      <c r="L13" t="s">
        <v>39</v>
      </c>
      <c r="M13" t="s">
        <v>59</v>
      </c>
      <c r="N13" t="s">
        <v>60</v>
      </c>
      <c r="O13" t="s">
        <v>67</v>
      </c>
      <c r="P13">
        <v>911.42</v>
      </c>
      <c r="Q13">
        <v>4</v>
      </c>
      <c r="R13">
        <v>0.2</v>
      </c>
      <c r="S13">
        <v>68.36</v>
      </c>
    </row>
    <row r="14" spans="1:19" x14ac:dyDescent="0.3">
      <c r="A14" t="s">
        <v>68</v>
      </c>
      <c r="B14">
        <v>2014</v>
      </c>
      <c r="C14" t="s">
        <v>69</v>
      </c>
      <c r="D14" t="s">
        <v>70</v>
      </c>
      <c r="E14">
        <v>5</v>
      </c>
      <c r="F14" t="s">
        <v>45</v>
      </c>
      <c r="G14" t="s">
        <v>71</v>
      </c>
      <c r="H14" t="s">
        <v>22</v>
      </c>
      <c r="I14" t="s">
        <v>23</v>
      </c>
      <c r="J14" t="s">
        <v>72</v>
      </c>
      <c r="K14" t="s">
        <v>73</v>
      </c>
      <c r="L14" t="s">
        <v>26</v>
      </c>
      <c r="M14" t="s">
        <v>40</v>
      </c>
      <c r="N14" t="s">
        <v>74</v>
      </c>
      <c r="O14" t="s">
        <v>75</v>
      </c>
      <c r="P14">
        <v>15.55</v>
      </c>
      <c r="Q14">
        <v>3</v>
      </c>
      <c r="R14">
        <v>0.2</v>
      </c>
      <c r="S14">
        <v>5.44</v>
      </c>
    </row>
    <row r="15" spans="1:19" x14ac:dyDescent="0.3">
      <c r="A15" s="1">
        <v>41437</v>
      </c>
      <c r="B15">
        <v>2013</v>
      </c>
      <c r="C15" t="s">
        <v>76</v>
      </c>
      <c r="D15" s="1">
        <v>41590</v>
      </c>
      <c r="E15">
        <v>5</v>
      </c>
      <c r="F15" t="s">
        <v>45</v>
      </c>
      <c r="G15" t="s">
        <v>77</v>
      </c>
      <c r="H15" t="s">
        <v>22</v>
      </c>
      <c r="I15" t="s">
        <v>23</v>
      </c>
      <c r="J15" t="s">
        <v>78</v>
      </c>
      <c r="K15" t="s">
        <v>79</v>
      </c>
      <c r="L15" t="s">
        <v>39</v>
      </c>
      <c r="M15" t="s">
        <v>40</v>
      </c>
      <c r="N15" t="s">
        <v>62</v>
      </c>
      <c r="O15" t="s">
        <v>80</v>
      </c>
      <c r="P15">
        <v>407.98</v>
      </c>
      <c r="Q15">
        <v>3</v>
      </c>
      <c r="R15">
        <v>0.2</v>
      </c>
      <c r="S15">
        <v>132.59</v>
      </c>
    </row>
    <row r="16" spans="1:19" x14ac:dyDescent="0.3">
      <c r="A16" t="s">
        <v>81</v>
      </c>
      <c r="B16">
        <v>2012</v>
      </c>
      <c r="C16" t="s">
        <v>19</v>
      </c>
      <c r="D16" t="s">
        <v>82</v>
      </c>
      <c r="E16">
        <v>4</v>
      </c>
      <c r="F16" t="s">
        <v>45</v>
      </c>
      <c r="G16" t="s">
        <v>83</v>
      </c>
      <c r="H16" t="s">
        <v>84</v>
      </c>
      <c r="I16" t="s">
        <v>23</v>
      </c>
      <c r="J16" t="s">
        <v>85</v>
      </c>
      <c r="K16" t="s">
        <v>86</v>
      </c>
      <c r="L16" t="s">
        <v>87</v>
      </c>
      <c r="M16" t="s">
        <v>40</v>
      </c>
      <c r="N16" t="s">
        <v>64</v>
      </c>
      <c r="O16" t="s">
        <v>88</v>
      </c>
      <c r="P16">
        <v>68.81</v>
      </c>
      <c r="Q16">
        <v>5</v>
      </c>
      <c r="R16">
        <v>0.8</v>
      </c>
      <c r="S16">
        <v>-123.86</v>
      </c>
    </row>
    <row r="17" spans="1:19" x14ac:dyDescent="0.3">
      <c r="A17" t="s">
        <v>81</v>
      </c>
      <c r="B17">
        <v>2012</v>
      </c>
      <c r="C17" t="s">
        <v>19</v>
      </c>
      <c r="D17" t="s">
        <v>82</v>
      </c>
      <c r="E17">
        <v>4</v>
      </c>
      <c r="F17" t="s">
        <v>45</v>
      </c>
      <c r="G17" t="s">
        <v>83</v>
      </c>
      <c r="H17" t="s">
        <v>84</v>
      </c>
      <c r="I17" t="s">
        <v>23</v>
      </c>
      <c r="J17" t="s">
        <v>85</v>
      </c>
      <c r="K17" t="s">
        <v>86</v>
      </c>
      <c r="L17" t="s">
        <v>87</v>
      </c>
      <c r="M17" t="s">
        <v>40</v>
      </c>
      <c r="N17" t="s">
        <v>62</v>
      </c>
      <c r="O17" t="s">
        <v>89</v>
      </c>
      <c r="P17">
        <v>2.54</v>
      </c>
      <c r="Q17">
        <v>3</v>
      </c>
      <c r="R17">
        <v>0.8</v>
      </c>
      <c r="S17">
        <v>-3.82</v>
      </c>
    </row>
    <row r="18" spans="1:19" x14ac:dyDescent="0.3">
      <c r="A18" s="1">
        <v>40858</v>
      </c>
      <c r="B18">
        <v>2011</v>
      </c>
      <c r="C18" t="s">
        <v>19</v>
      </c>
      <c r="D18" t="s">
        <v>90</v>
      </c>
      <c r="E18">
        <v>7</v>
      </c>
      <c r="F18" t="s">
        <v>45</v>
      </c>
      <c r="G18" t="s">
        <v>91</v>
      </c>
      <c r="H18" t="s">
        <v>22</v>
      </c>
      <c r="I18" t="s">
        <v>23</v>
      </c>
      <c r="J18" t="s">
        <v>92</v>
      </c>
      <c r="K18" t="s">
        <v>93</v>
      </c>
      <c r="L18" t="s">
        <v>87</v>
      </c>
      <c r="M18" t="s">
        <v>40</v>
      </c>
      <c r="N18" t="s">
        <v>51</v>
      </c>
      <c r="O18" t="s">
        <v>94</v>
      </c>
      <c r="P18">
        <v>665.88</v>
      </c>
      <c r="Q18">
        <v>6</v>
      </c>
      <c r="R18">
        <v>0</v>
      </c>
      <c r="S18">
        <v>13.32</v>
      </c>
    </row>
    <row r="19" spans="1:19" x14ac:dyDescent="0.3">
      <c r="A19" t="s">
        <v>95</v>
      </c>
      <c r="B19">
        <v>2011</v>
      </c>
      <c r="C19" t="s">
        <v>96</v>
      </c>
      <c r="D19" t="s">
        <v>97</v>
      </c>
      <c r="E19">
        <v>2</v>
      </c>
      <c r="F19" t="s">
        <v>20</v>
      </c>
      <c r="G19" t="s">
        <v>98</v>
      </c>
      <c r="H19" t="s">
        <v>22</v>
      </c>
      <c r="I19" t="s">
        <v>23</v>
      </c>
      <c r="J19" t="s">
        <v>99</v>
      </c>
      <c r="K19" t="s">
        <v>100</v>
      </c>
      <c r="L19" t="s">
        <v>39</v>
      </c>
      <c r="M19" t="s">
        <v>40</v>
      </c>
      <c r="N19" t="s">
        <v>51</v>
      </c>
      <c r="O19" t="s">
        <v>101</v>
      </c>
      <c r="P19">
        <v>55.5</v>
      </c>
      <c r="Q19">
        <v>2</v>
      </c>
      <c r="R19">
        <v>0</v>
      </c>
      <c r="S19">
        <v>9.99</v>
      </c>
    </row>
    <row r="20" spans="1:19" x14ac:dyDescent="0.3">
      <c r="A20" t="s">
        <v>102</v>
      </c>
      <c r="B20">
        <v>2011</v>
      </c>
      <c r="C20" t="s">
        <v>103</v>
      </c>
      <c r="D20" s="1">
        <v>40552</v>
      </c>
      <c r="E20">
        <v>5</v>
      </c>
      <c r="F20" t="s">
        <v>20</v>
      </c>
      <c r="G20" t="s">
        <v>104</v>
      </c>
      <c r="H20" t="s">
        <v>22</v>
      </c>
      <c r="I20" t="s">
        <v>23</v>
      </c>
      <c r="J20" t="s">
        <v>105</v>
      </c>
      <c r="K20" t="s">
        <v>38</v>
      </c>
      <c r="L20" t="s">
        <v>39</v>
      </c>
      <c r="M20" t="s">
        <v>40</v>
      </c>
      <c r="N20" t="s">
        <v>57</v>
      </c>
      <c r="O20" t="s">
        <v>106</v>
      </c>
      <c r="P20">
        <v>8.56</v>
      </c>
      <c r="Q20">
        <v>2</v>
      </c>
      <c r="R20">
        <v>0</v>
      </c>
      <c r="S20">
        <v>2.48</v>
      </c>
    </row>
    <row r="21" spans="1:19" x14ac:dyDescent="0.3">
      <c r="A21" t="s">
        <v>102</v>
      </c>
      <c r="B21">
        <v>2011</v>
      </c>
      <c r="C21" t="s">
        <v>103</v>
      </c>
      <c r="D21" s="1">
        <v>40552</v>
      </c>
      <c r="E21">
        <v>5</v>
      </c>
      <c r="F21" t="s">
        <v>20</v>
      </c>
      <c r="G21" t="s">
        <v>104</v>
      </c>
      <c r="H21" t="s">
        <v>22</v>
      </c>
      <c r="I21" t="s">
        <v>23</v>
      </c>
      <c r="J21" t="s">
        <v>105</v>
      </c>
      <c r="K21" t="s">
        <v>38</v>
      </c>
      <c r="L21" t="s">
        <v>39</v>
      </c>
      <c r="M21" t="s">
        <v>59</v>
      </c>
      <c r="N21" t="s">
        <v>60</v>
      </c>
      <c r="O21" t="s">
        <v>107</v>
      </c>
      <c r="P21">
        <v>213.48</v>
      </c>
      <c r="Q21">
        <v>3</v>
      </c>
      <c r="R21">
        <v>0.2</v>
      </c>
      <c r="S21">
        <v>16.010000000000002</v>
      </c>
    </row>
    <row r="22" spans="1:19" x14ac:dyDescent="0.3">
      <c r="A22" t="s">
        <v>102</v>
      </c>
      <c r="B22">
        <v>2011</v>
      </c>
      <c r="C22" t="s">
        <v>103</v>
      </c>
      <c r="D22" s="1">
        <v>40552</v>
      </c>
      <c r="E22">
        <v>5</v>
      </c>
      <c r="F22" t="s">
        <v>20</v>
      </c>
      <c r="G22" t="s">
        <v>104</v>
      </c>
      <c r="H22" t="s">
        <v>22</v>
      </c>
      <c r="I22" t="s">
        <v>23</v>
      </c>
      <c r="J22" t="s">
        <v>105</v>
      </c>
      <c r="K22" t="s">
        <v>38</v>
      </c>
      <c r="L22" t="s">
        <v>39</v>
      </c>
      <c r="M22" t="s">
        <v>40</v>
      </c>
      <c r="N22" t="s">
        <v>62</v>
      </c>
      <c r="O22" t="s">
        <v>108</v>
      </c>
      <c r="P22">
        <v>22.72</v>
      </c>
      <c r="Q22">
        <v>4</v>
      </c>
      <c r="R22">
        <v>0.2</v>
      </c>
      <c r="S22">
        <v>7.38</v>
      </c>
    </row>
    <row r="23" spans="1:19" x14ac:dyDescent="0.3">
      <c r="A23" s="1">
        <v>41559</v>
      </c>
      <c r="B23">
        <v>2013</v>
      </c>
      <c r="C23" t="s">
        <v>76</v>
      </c>
      <c r="D23" t="s">
        <v>109</v>
      </c>
      <c r="E23">
        <v>4</v>
      </c>
      <c r="F23" t="s">
        <v>45</v>
      </c>
      <c r="G23" t="s">
        <v>110</v>
      </c>
      <c r="H23" t="s">
        <v>36</v>
      </c>
      <c r="I23" t="s">
        <v>23</v>
      </c>
      <c r="J23" t="s">
        <v>111</v>
      </c>
      <c r="K23" t="s">
        <v>112</v>
      </c>
      <c r="L23" t="s">
        <v>87</v>
      </c>
      <c r="M23" t="s">
        <v>40</v>
      </c>
      <c r="N23" t="s">
        <v>57</v>
      </c>
      <c r="O23" t="s">
        <v>113</v>
      </c>
      <c r="P23">
        <v>19.46</v>
      </c>
      <c r="Q23">
        <v>7</v>
      </c>
      <c r="R23">
        <v>0</v>
      </c>
      <c r="S23">
        <v>5.0599999999999996</v>
      </c>
    </row>
    <row r="24" spans="1:19" x14ac:dyDescent="0.3">
      <c r="A24" s="1">
        <v>41559</v>
      </c>
      <c r="B24">
        <v>2013</v>
      </c>
      <c r="C24" t="s">
        <v>76</v>
      </c>
      <c r="D24" t="s">
        <v>109</v>
      </c>
      <c r="E24">
        <v>4</v>
      </c>
      <c r="F24" t="s">
        <v>45</v>
      </c>
      <c r="G24" t="s">
        <v>110</v>
      </c>
      <c r="H24" t="s">
        <v>36</v>
      </c>
      <c r="I24" t="s">
        <v>23</v>
      </c>
      <c r="J24" t="s">
        <v>111</v>
      </c>
      <c r="K24" t="s">
        <v>112</v>
      </c>
      <c r="L24" t="s">
        <v>87</v>
      </c>
      <c r="M24" t="s">
        <v>40</v>
      </c>
      <c r="N24" t="s">
        <v>64</v>
      </c>
      <c r="O24" t="s">
        <v>114</v>
      </c>
      <c r="P24">
        <v>60.34</v>
      </c>
      <c r="Q24">
        <v>7</v>
      </c>
      <c r="R24">
        <v>0</v>
      </c>
      <c r="S24">
        <v>15.69</v>
      </c>
    </row>
    <row r="25" spans="1:19" x14ac:dyDescent="0.3">
      <c r="A25" t="s">
        <v>115</v>
      </c>
      <c r="B25">
        <v>2014</v>
      </c>
      <c r="C25" t="s">
        <v>116</v>
      </c>
      <c r="D25" t="s">
        <v>117</v>
      </c>
      <c r="E25">
        <v>2</v>
      </c>
      <c r="F25" t="s">
        <v>20</v>
      </c>
      <c r="G25" t="s">
        <v>118</v>
      </c>
      <c r="H25" t="s">
        <v>22</v>
      </c>
      <c r="I25" t="s">
        <v>23</v>
      </c>
      <c r="J25" t="s">
        <v>119</v>
      </c>
      <c r="K25" t="s">
        <v>120</v>
      </c>
      <c r="L25" t="s">
        <v>121</v>
      </c>
      <c r="M25" t="s">
        <v>27</v>
      </c>
      <c r="N25" t="s">
        <v>30</v>
      </c>
      <c r="O25" t="s">
        <v>122</v>
      </c>
      <c r="P25">
        <v>71.37</v>
      </c>
      <c r="Q25">
        <v>2</v>
      </c>
      <c r="R25">
        <v>0.3</v>
      </c>
      <c r="S25">
        <v>-1.02</v>
      </c>
    </row>
    <row r="26" spans="1:19" x14ac:dyDescent="0.3">
      <c r="A26" t="s">
        <v>123</v>
      </c>
      <c r="B26">
        <v>2012</v>
      </c>
      <c r="C26" t="s">
        <v>124</v>
      </c>
      <c r="D26" t="s">
        <v>125</v>
      </c>
      <c r="E26">
        <v>5</v>
      </c>
      <c r="F26" t="s">
        <v>45</v>
      </c>
      <c r="G26" t="s">
        <v>126</v>
      </c>
      <c r="H26" t="s">
        <v>22</v>
      </c>
      <c r="I26" t="s">
        <v>23</v>
      </c>
      <c r="J26" t="s">
        <v>127</v>
      </c>
      <c r="K26" t="s">
        <v>100</v>
      </c>
      <c r="L26" t="s">
        <v>39</v>
      </c>
      <c r="M26" t="s">
        <v>27</v>
      </c>
      <c r="N26" t="s">
        <v>49</v>
      </c>
      <c r="O26" t="s">
        <v>50</v>
      </c>
      <c r="P26">
        <v>1044.6300000000001</v>
      </c>
      <c r="Q26">
        <v>3</v>
      </c>
      <c r="R26">
        <v>0</v>
      </c>
      <c r="S26">
        <v>240.26</v>
      </c>
    </row>
    <row r="27" spans="1:19" x14ac:dyDescent="0.3">
      <c r="A27" t="s">
        <v>128</v>
      </c>
      <c r="B27">
        <v>2013</v>
      </c>
      <c r="C27" t="s">
        <v>129</v>
      </c>
      <c r="D27" t="s">
        <v>130</v>
      </c>
      <c r="E27">
        <v>4</v>
      </c>
      <c r="F27" t="s">
        <v>20</v>
      </c>
      <c r="G27" t="s">
        <v>131</v>
      </c>
      <c r="H27" t="s">
        <v>22</v>
      </c>
      <c r="I27" t="s">
        <v>23</v>
      </c>
      <c r="J27" t="s">
        <v>37</v>
      </c>
      <c r="K27" t="s">
        <v>38</v>
      </c>
      <c r="L27" t="s">
        <v>39</v>
      </c>
      <c r="M27" t="s">
        <v>40</v>
      </c>
      <c r="N27" t="s">
        <v>62</v>
      </c>
      <c r="O27" t="s">
        <v>132</v>
      </c>
      <c r="P27">
        <v>11.65</v>
      </c>
      <c r="Q27">
        <v>2</v>
      </c>
      <c r="R27">
        <v>0.2</v>
      </c>
      <c r="S27">
        <v>4.22</v>
      </c>
    </row>
    <row r="28" spans="1:19" x14ac:dyDescent="0.3">
      <c r="A28" t="s">
        <v>128</v>
      </c>
      <c r="B28">
        <v>2013</v>
      </c>
      <c r="C28" t="s">
        <v>129</v>
      </c>
      <c r="D28" t="s">
        <v>130</v>
      </c>
      <c r="E28">
        <v>4</v>
      </c>
      <c r="F28" t="s">
        <v>20</v>
      </c>
      <c r="G28" t="s">
        <v>131</v>
      </c>
      <c r="H28" t="s">
        <v>22</v>
      </c>
      <c r="I28" t="s">
        <v>23</v>
      </c>
      <c r="J28" t="s">
        <v>37</v>
      </c>
      <c r="K28" t="s">
        <v>38</v>
      </c>
      <c r="L28" t="s">
        <v>39</v>
      </c>
      <c r="M28" t="s">
        <v>59</v>
      </c>
      <c r="N28" t="s">
        <v>133</v>
      </c>
      <c r="O28" t="s">
        <v>134</v>
      </c>
      <c r="P28">
        <v>90.57</v>
      </c>
      <c r="Q28">
        <v>3</v>
      </c>
      <c r="R28">
        <v>0</v>
      </c>
      <c r="S28">
        <v>11.77</v>
      </c>
    </row>
    <row r="29" spans="1:19" x14ac:dyDescent="0.3">
      <c r="A29" t="s">
        <v>135</v>
      </c>
      <c r="B29">
        <v>2012</v>
      </c>
      <c r="C29" t="s">
        <v>124</v>
      </c>
      <c r="D29" t="s">
        <v>136</v>
      </c>
      <c r="E29">
        <v>4</v>
      </c>
      <c r="F29" t="s">
        <v>45</v>
      </c>
      <c r="G29" t="s">
        <v>137</v>
      </c>
      <c r="H29" t="s">
        <v>22</v>
      </c>
      <c r="I29" t="s">
        <v>23</v>
      </c>
      <c r="J29" t="s">
        <v>119</v>
      </c>
      <c r="K29" t="s">
        <v>120</v>
      </c>
      <c r="L29" t="s">
        <v>121</v>
      </c>
      <c r="M29" t="s">
        <v>27</v>
      </c>
      <c r="N29" t="s">
        <v>28</v>
      </c>
      <c r="O29" t="s">
        <v>138</v>
      </c>
      <c r="P29">
        <v>3083.43</v>
      </c>
      <c r="Q29">
        <v>7</v>
      </c>
      <c r="R29">
        <v>0.5</v>
      </c>
      <c r="S29">
        <v>-1665.05</v>
      </c>
    </row>
    <row r="30" spans="1:19" x14ac:dyDescent="0.3">
      <c r="A30" t="s">
        <v>135</v>
      </c>
      <c r="B30">
        <v>2012</v>
      </c>
      <c r="C30" t="s">
        <v>124</v>
      </c>
      <c r="D30" t="s">
        <v>136</v>
      </c>
      <c r="E30">
        <v>4</v>
      </c>
      <c r="F30" t="s">
        <v>45</v>
      </c>
      <c r="G30" t="s">
        <v>137</v>
      </c>
      <c r="H30" t="s">
        <v>22</v>
      </c>
      <c r="I30" t="s">
        <v>23</v>
      </c>
      <c r="J30" t="s">
        <v>119</v>
      </c>
      <c r="K30" t="s">
        <v>120</v>
      </c>
      <c r="L30" t="s">
        <v>121</v>
      </c>
      <c r="M30" t="s">
        <v>40</v>
      </c>
      <c r="N30" t="s">
        <v>62</v>
      </c>
      <c r="O30" t="s">
        <v>139</v>
      </c>
      <c r="P30">
        <v>9.6199999999999992</v>
      </c>
      <c r="Q30">
        <v>2</v>
      </c>
      <c r="R30">
        <v>0.7</v>
      </c>
      <c r="S30">
        <v>-7.05</v>
      </c>
    </row>
    <row r="31" spans="1:19" x14ac:dyDescent="0.3">
      <c r="A31" t="s">
        <v>135</v>
      </c>
      <c r="B31">
        <v>2012</v>
      </c>
      <c r="C31" t="s">
        <v>124</v>
      </c>
      <c r="D31" t="s">
        <v>136</v>
      </c>
      <c r="E31">
        <v>4</v>
      </c>
      <c r="F31" t="s">
        <v>45</v>
      </c>
      <c r="G31" t="s">
        <v>137</v>
      </c>
      <c r="H31" t="s">
        <v>22</v>
      </c>
      <c r="I31" t="s">
        <v>23</v>
      </c>
      <c r="J31" t="s">
        <v>119</v>
      </c>
      <c r="K31" t="s">
        <v>120</v>
      </c>
      <c r="L31" t="s">
        <v>121</v>
      </c>
      <c r="M31" t="s">
        <v>27</v>
      </c>
      <c r="N31" t="s">
        <v>55</v>
      </c>
      <c r="O31" t="s">
        <v>140</v>
      </c>
      <c r="P31">
        <v>124.2</v>
      </c>
      <c r="Q31">
        <v>3</v>
      </c>
      <c r="R31">
        <v>0.2</v>
      </c>
      <c r="S31">
        <v>15.53</v>
      </c>
    </row>
    <row r="32" spans="1:19" x14ac:dyDescent="0.3">
      <c r="A32" t="s">
        <v>135</v>
      </c>
      <c r="B32">
        <v>2012</v>
      </c>
      <c r="C32" t="s">
        <v>124</v>
      </c>
      <c r="D32" t="s">
        <v>136</v>
      </c>
      <c r="E32">
        <v>4</v>
      </c>
      <c r="F32" t="s">
        <v>45</v>
      </c>
      <c r="G32" t="s">
        <v>137</v>
      </c>
      <c r="H32" t="s">
        <v>22</v>
      </c>
      <c r="I32" t="s">
        <v>23</v>
      </c>
      <c r="J32" t="s">
        <v>119</v>
      </c>
      <c r="K32" t="s">
        <v>120</v>
      </c>
      <c r="L32" t="s">
        <v>121</v>
      </c>
      <c r="M32" t="s">
        <v>40</v>
      </c>
      <c r="N32" t="s">
        <v>141</v>
      </c>
      <c r="O32" t="s">
        <v>142</v>
      </c>
      <c r="P32">
        <v>3.26</v>
      </c>
      <c r="Q32">
        <v>2</v>
      </c>
      <c r="R32">
        <v>0.2</v>
      </c>
      <c r="S32">
        <v>1.1000000000000001</v>
      </c>
    </row>
    <row r="33" spans="1:19" x14ac:dyDescent="0.3">
      <c r="A33" t="s">
        <v>135</v>
      </c>
      <c r="B33">
        <v>2012</v>
      </c>
      <c r="C33" t="s">
        <v>124</v>
      </c>
      <c r="D33" t="s">
        <v>136</v>
      </c>
      <c r="E33">
        <v>4</v>
      </c>
      <c r="F33" t="s">
        <v>45</v>
      </c>
      <c r="G33" t="s">
        <v>137</v>
      </c>
      <c r="H33" t="s">
        <v>22</v>
      </c>
      <c r="I33" t="s">
        <v>23</v>
      </c>
      <c r="J33" t="s">
        <v>119</v>
      </c>
      <c r="K33" t="s">
        <v>120</v>
      </c>
      <c r="L33" t="s">
        <v>121</v>
      </c>
      <c r="M33" t="s">
        <v>40</v>
      </c>
      <c r="N33" t="s">
        <v>57</v>
      </c>
      <c r="O33" t="s">
        <v>143</v>
      </c>
      <c r="P33">
        <v>86.3</v>
      </c>
      <c r="Q33">
        <v>6</v>
      </c>
      <c r="R33">
        <v>0.2</v>
      </c>
      <c r="S33">
        <v>9.7100000000000009</v>
      </c>
    </row>
    <row r="34" spans="1:19" x14ac:dyDescent="0.3">
      <c r="A34" t="s">
        <v>135</v>
      </c>
      <c r="B34">
        <v>2012</v>
      </c>
      <c r="C34" t="s">
        <v>124</v>
      </c>
      <c r="D34" t="s">
        <v>136</v>
      </c>
      <c r="E34">
        <v>4</v>
      </c>
      <c r="F34" t="s">
        <v>45</v>
      </c>
      <c r="G34" t="s">
        <v>137</v>
      </c>
      <c r="H34" t="s">
        <v>22</v>
      </c>
      <c r="I34" t="s">
        <v>23</v>
      </c>
      <c r="J34" t="s">
        <v>119</v>
      </c>
      <c r="K34" t="s">
        <v>120</v>
      </c>
      <c r="L34" t="s">
        <v>121</v>
      </c>
      <c r="M34" t="s">
        <v>40</v>
      </c>
      <c r="N34" t="s">
        <v>62</v>
      </c>
      <c r="O34" t="s">
        <v>144</v>
      </c>
      <c r="P34">
        <v>6.86</v>
      </c>
      <c r="Q34">
        <v>6</v>
      </c>
      <c r="R34">
        <v>0.7</v>
      </c>
      <c r="S34">
        <v>-5.72</v>
      </c>
    </row>
    <row r="35" spans="1:19" x14ac:dyDescent="0.3">
      <c r="A35" t="s">
        <v>135</v>
      </c>
      <c r="B35">
        <v>2012</v>
      </c>
      <c r="C35" t="s">
        <v>124</v>
      </c>
      <c r="D35" t="s">
        <v>136</v>
      </c>
      <c r="E35">
        <v>4</v>
      </c>
      <c r="F35" t="s">
        <v>45</v>
      </c>
      <c r="G35" t="s">
        <v>137</v>
      </c>
      <c r="H35" t="s">
        <v>22</v>
      </c>
      <c r="I35" t="s">
        <v>23</v>
      </c>
      <c r="J35" t="s">
        <v>119</v>
      </c>
      <c r="K35" t="s">
        <v>120</v>
      </c>
      <c r="L35" t="s">
        <v>121</v>
      </c>
      <c r="M35" t="s">
        <v>40</v>
      </c>
      <c r="N35" t="s">
        <v>57</v>
      </c>
      <c r="O35" t="s">
        <v>145</v>
      </c>
      <c r="P35">
        <v>15.76</v>
      </c>
      <c r="Q35">
        <v>2</v>
      </c>
      <c r="R35">
        <v>0.2</v>
      </c>
      <c r="S35">
        <v>3.55</v>
      </c>
    </row>
    <row r="36" spans="1:19" x14ac:dyDescent="0.3">
      <c r="A36" t="s">
        <v>146</v>
      </c>
      <c r="B36">
        <v>2014</v>
      </c>
      <c r="C36" t="s">
        <v>43</v>
      </c>
      <c r="D36" t="s">
        <v>147</v>
      </c>
      <c r="E36">
        <v>4</v>
      </c>
      <c r="F36" t="s">
        <v>20</v>
      </c>
      <c r="G36" t="s">
        <v>148</v>
      </c>
      <c r="H36" t="s">
        <v>84</v>
      </c>
      <c r="I36" t="s">
        <v>23</v>
      </c>
      <c r="J36" t="s">
        <v>149</v>
      </c>
      <c r="K36" t="s">
        <v>86</v>
      </c>
      <c r="L36" t="s">
        <v>87</v>
      </c>
      <c r="M36" t="s">
        <v>40</v>
      </c>
      <c r="N36" t="s">
        <v>74</v>
      </c>
      <c r="O36" t="s">
        <v>150</v>
      </c>
      <c r="P36">
        <v>29.47</v>
      </c>
      <c r="Q36">
        <v>3</v>
      </c>
      <c r="R36">
        <v>0.2</v>
      </c>
      <c r="S36">
        <v>9.9499999999999993</v>
      </c>
    </row>
    <row r="37" spans="1:19" x14ac:dyDescent="0.3">
      <c r="A37" s="1">
        <v>41529</v>
      </c>
      <c r="B37">
        <v>2013</v>
      </c>
      <c r="C37" t="s">
        <v>76</v>
      </c>
      <c r="D37" s="1">
        <v>41590</v>
      </c>
      <c r="E37">
        <v>2</v>
      </c>
      <c r="F37" t="s">
        <v>151</v>
      </c>
      <c r="G37" t="s">
        <v>152</v>
      </c>
      <c r="H37" t="s">
        <v>36</v>
      </c>
      <c r="I37" t="s">
        <v>23</v>
      </c>
      <c r="J37" t="s">
        <v>153</v>
      </c>
      <c r="K37" t="s">
        <v>86</v>
      </c>
      <c r="L37" t="s">
        <v>87</v>
      </c>
      <c r="M37" t="s">
        <v>59</v>
      </c>
      <c r="N37" t="s">
        <v>60</v>
      </c>
      <c r="O37" t="s">
        <v>154</v>
      </c>
      <c r="P37">
        <v>1097.54</v>
      </c>
      <c r="Q37">
        <v>7</v>
      </c>
      <c r="R37">
        <v>0.2</v>
      </c>
      <c r="S37">
        <v>123.47</v>
      </c>
    </row>
    <row r="38" spans="1:19" x14ac:dyDescent="0.3">
      <c r="A38" s="1">
        <v>41529</v>
      </c>
      <c r="B38">
        <v>2013</v>
      </c>
      <c r="C38" t="s">
        <v>76</v>
      </c>
      <c r="D38" s="1">
        <v>41590</v>
      </c>
      <c r="E38">
        <v>2</v>
      </c>
      <c r="F38" t="s">
        <v>151</v>
      </c>
      <c r="G38" t="s">
        <v>152</v>
      </c>
      <c r="H38" t="s">
        <v>36</v>
      </c>
      <c r="I38" t="s">
        <v>23</v>
      </c>
      <c r="J38" t="s">
        <v>153</v>
      </c>
      <c r="K38" t="s">
        <v>86</v>
      </c>
      <c r="L38" t="s">
        <v>87</v>
      </c>
      <c r="M38" t="s">
        <v>27</v>
      </c>
      <c r="N38" t="s">
        <v>55</v>
      </c>
      <c r="O38" t="s">
        <v>155</v>
      </c>
      <c r="P38">
        <v>190.92</v>
      </c>
      <c r="Q38">
        <v>5</v>
      </c>
      <c r="R38">
        <v>0.6</v>
      </c>
      <c r="S38">
        <v>-147.96</v>
      </c>
    </row>
    <row r="39" spans="1:19" x14ac:dyDescent="0.3">
      <c r="A39" t="s">
        <v>156</v>
      </c>
      <c r="B39">
        <v>2012</v>
      </c>
      <c r="C39" t="s">
        <v>76</v>
      </c>
      <c r="D39" t="s">
        <v>157</v>
      </c>
      <c r="E39">
        <v>4</v>
      </c>
      <c r="F39" t="s">
        <v>45</v>
      </c>
      <c r="G39" t="s">
        <v>158</v>
      </c>
      <c r="H39" t="s">
        <v>84</v>
      </c>
      <c r="I39" t="s">
        <v>23</v>
      </c>
      <c r="J39" t="s">
        <v>149</v>
      </c>
      <c r="K39" t="s">
        <v>86</v>
      </c>
      <c r="L39" t="s">
        <v>87</v>
      </c>
      <c r="M39" t="s">
        <v>40</v>
      </c>
      <c r="N39" t="s">
        <v>141</v>
      </c>
      <c r="O39" t="s">
        <v>159</v>
      </c>
      <c r="P39">
        <v>113.33</v>
      </c>
      <c r="Q39">
        <v>9</v>
      </c>
      <c r="R39">
        <v>0.2</v>
      </c>
      <c r="S39">
        <v>35.42</v>
      </c>
    </row>
    <row r="40" spans="1:19" x14ac:dyDescent="0.3">
      <c r="A40" t="s">
        <v>156</v>
      </c>
      <c r="B40">
        <v>2012</v>
      </c>
      <c r="C40" t="s">
        <v>76</v>
      </c>
      <c r="D40" t="s">
        <v>157</v>
      </c>
      <c r="E40">
        <v>4</v>
      </c>
      <c r="F40" t="s">
        <v>45</v>
      </c>
      <c r="G40" t="s">
        <v>158</v>
      </c>
      <c r="H40" t="s">
        <v>84</v>
      </c>
      <c r="I40" t="s">
        <v>23</v>
      </c>
      <c r="J40" t="s">
        <v>149</v>
      </c>
      <c r="K40" t="s">
        <v>86</v>
      </c>
      <c r="L40" t="s">
        <v>87</v>
      </c>
      <c r="M40" t="s">
        <v>27</v>
      </c>
      <c r="N40" t="s">
        <v>28</v>
      </c>
      <c r="O40" t="s">
        <v>160</v>
      </c>
      <c r="P40">
        <v>532.4</v>
      </c>
      <c r="Q40">
        <v>3</v>
      </c>
      <c r="R40">
        <v>0.32</v>
      </c>
      <c r="S40">
        <v>-46.98</v>
      </c>
    </row>
    <row r="41" spans="1:19" x14ac:dyDescent="0.3">
      <c r="A41" t="s">
        <v>156</v>
      </c>
      <c r="B41">
        <v>2012</v>
      </c>
      <c r="C41" t="s">
        <v>76</v>
      </c>
      <c r="D41" t="s">
        <v>157</v>
      </c>
      <c r="E41">
        <v>4</v>
      </c>
      <c r="F41" t="s">
        <v>45</v>
      </c>
      <c r="G41" t="s">
        <v>158</v>
      </c>
      <c r="H41" t="s">
        <v>84</v>
      </c>
      <c r="I41" t="s">
        <v>23</v>
      </c>
      <c r="J41" t="s">
        <v>149</v>
      </c>
      <c r="K41" t="s">
        <v>86</v>
      </c>
      <c r="L41" t="s">
        <v>87</v>
      </c>
      <c r="M41" t="s">
        <v>27</v>
      </c>
      <c r="N41" t="s">
        <v>30</v>
      </c>
      <c r="O41" t="s">
        <v>161</v>
      </c>
      <c r="P41">
        <v>212.06</v>
      </c>
      <c r="Q41">
        <v>3</v>
      </c>
      <c r="R41">
        <v>0.3</v>
      </c>
      <c r="S41">
        <v>-15.15</v>
      </c>
    </row>
    <row r="42" spans="1:19" x14ac:dyDescent="0.3">
      <c r="A42" t="s">
        <v>156</v>
      </c>
      <c r="B42">
        <v>2012</v>
      </c>
      <c r="C42" t="s">
        <v>76</v>
      </c>
      <c r="D42" t="s">
        <v>157</v>
      </c>
      <c r="E42">
        <v>4</v>
      </c>
      <c r="F42" t="s">
        <v>45</v>
      </c>
      <c r="G42" t="s">
        <v>158</v>
      </c>
      <c r="H42" t="s">
        <v>84</v>
      </c>
      <c r="I42" t="s">
        <v>23</v>
      </c>
      <c r="J42" t="s">
        <v>149</v>
      </c>
      <c r="K42" t="s">
        <v>86</v>
      </c>
      <c r="L42" t="s">
        <v>87</v>
      </c>
      <c r="M42" t="s">
        <v>59</v>
      </c>
      <c r="N42" t="s">
        <v>60</v>
      </c>
      <c r="O42" t="s">
        <v>162</v>
      </c>
      <c r="P42">
        <v>371.17</v>
      </c>
      <c r="Q42">
        <v>4</v>
      </c>
      <c r="R42">
        <v>0.2</v>
      </c>
      <c r="S42">
        <v>41.76</v>
      </c>
    </row>
    <row r="43" spans="1:19" x14ac:dyDescent="0.3">
      <c r="A43" s="1">
        <v>41952</v>
      </c>
      <c r="B43">
        <v>2014</v>
      </c>
      <c r="C43" t="s">
        <v>124</v>
      </c>
      <c r="D43" t="s">
        <v>163</v>
      </c>
      <c r="E43">
        <v>5</v>
      </c>
      <c r="F43" t="s">
        <v>45</v>
      </c>
      <c r="G43" t="s">
        <v>164</v>
      </c>
      <c r="H43" t="s">
        <v>36</v>
      </c>
      <c r="I43" t="s">
        <v>23</v>
      </c>
      <c r="J43" t="s">
        <v>165</v>
      </c>
      <c r="K43" t="s">
        <v>166</v>
      </c>
      <c r="L43" t="s">
        <v>87</v>
      </c>
      <c r="M43" t="s">
        <v>59</v>
      </c>
      <c r="N43" t="s">
        <v>60</v>
      </c>
      <c r="O43" t="s">
        <v>167</v>
      </c>
      <c r="P43">
        <v>147.16999999999999</v>
      </c>
      <c r="Q43">
        <v>4</v>
      </c>
      <c r="R43">
        <v>0.2</v>
      </c>
      <c r="S43">
        <v>16.559999999999999</v>
      </c>
    </row>
    <row r="44" spans="1:19" x14ac:dyDescent="0.3">
      <c r="A44" t="s">
        <v>168</v>
      </c>
      <c r="B44">
        <v>2013</v>
      </c>
      <c r="C44" t="s">
        <v>116</v>
      </c>
      <c r="D44" t="s">
        <v>169</v>
      </c>
      <c r="E44">
        <v>5</v>
      </c>
      <c r="F44" t="s">
        <v>45</v>
      </c>
      <c r="G44" t="s">
        <v>170</v>
      </c>
      <c r="H44" t="s">
        <v>36</v>
      </c>
      <c r="I44" t="s">
        <v>23</v>
      </c>
      <c r="J44" t="s">
        <v>37</v>
      </c>
      <c r="K44" t="s">
        <v>38</v>
      </c>
      <c r="L44" t="s">
        <v>39</v>
      </c>
      <c r="M44" t="s">
        <v>40</v>
      </c>
      <c r="N44" t="s">
        <v>51</v>
      </c>
      <c r="O44" t="s">
        <v>171</v>
      </c>
      <c r="P44">
        <v>77.88</v>
      </c>
      <c r="Q44">
        <v>2</v>
      </c>
      <c r="R44">
        <v>0</v>
      </c>
      <c r="S44">
        <v>3.89</v>
      </c>
    </row>
    <row r="45" spans="1:19" x14ac:dyDescent="0.3">
      <c r="A45" t="s">
        <v>172</v>
      </c>
      <c r="B45">
        <v>2014</v>
      </c>
      <c r="C45" t="s">
        <v>124</v>
      </c>
      <c r="D45" t="s">
        <v>173</v>
      </c>
      <c r="E45">
        <v>4</v>
      </c>
      <c r="F45" t="s">
        <v>45</v>
      </c>
      <c r="G45" t="s">
        <v>174</v>
      </c>
      <c r="H45" t="s">
        <v>36</v>
      </c>
      <c r="I45" t="s">
        <v>23</v>
      </c>
      <c r="J45" t="s">
        <v>175</v>
      </c>
      <c r="K45" t="s">
        <v>48</v>
      </c>
      <c r="L45" t="s">
        <v>26</v>
      </c>
      <c r="M45" t="s">
        <v>40</v>
      </c>
      <c r="N45" t="s">
        <v>51</v>
      </c>
      <c r="O45" t="s">
        <v>176</v>
      </c>
      <c r="P45">
        <v>95.62</v>
      </c>
      <c r="Q45">
        <v>2</v>
      </c>
      <c r="R45">
        <v>0.2</v>
      </c>
      <c r="S45">
        <v>9.56</v>
      </c>
    </row>
    <row r="46" spans="1:19" x14ac:dyDescent="0.3">
      <c r="A46" s="1">
        <v>41611</v>
      </c>
      <c r="B46">
        <v>2013</v>
      </c>
      <c r="C46" t="s">
        <v>177</v>
      </c>
      <c r="D46" t="s">
        <v>178</v>
      </c>
      <c r="E46">
        <v>2</v>
      </c>
      <c r="F46" t="s">
        <v>151</v>
      </c>
      <c r="G46" t="s">
        <v>179</v>
      </c>
      <c r="H46" t="s">
        <v>36</v>
      </c>
      <c r="I46" t="s">
        <v>23</v>
      </c>
      <c r="J46" t="s">
        <v>180</v>
      </c>
      <c r="K46" t="s">
        <v>181</v>
      </c>
      <c r="L46" t="s">
        <v>87</v>
      </c>
      <c r="M46" t="s">
        <v>59</v>
      </c>
      <c r="N46" t="s">
        <v>133</v>
      </c>
      <c r="O46" t="s">
        <v>182</v>
      </c>
      <c r="P46">
        <v>45.98</v>
      </c>
      <c r="Q46">
        <v>2</v>
      </c>
      <c r="R46">
        <v>0</v>
      </c>
      <c r="S46">
        <v>19.77</v>
      </c>
    </row>
    <row r="47" spans="1:19" x14ac:dyDescent="0.3">
      <c r="A47" s="1">
        <v>41611</v>
      </c>
      <c r="B47">
        <v>2013</v>
      </c>
      <c r="C47" t="s">
        <v>177</v>
      </c>
      <c r="D47" t="s">
        <v>178</v>
      </c>
      <c r="E47">
        <v>2</v>
      </c>
      <c r="F47" t="s">
        <v>151</v>
      </c>
      <c r="G47" t="s">
        <v>179</v>
      </c>
      <c r="H47" t="s">
        <v>36</v>
      </c>
      <c r="I47" t="s">
        <v>23</v>
      </c>
      <c r="J47" t="s">
        <v>180</v>
      </c>
      <c r="K47" t="s">
        <v>181</v>
      </c>
      <c r="L47" t="s">
        <v>87</v>
      </c>
      <c r="M47" t="s">
        <v>40</v>
      </c>
      <c r="N47" t="s">
        <v>62</v>
      </c>
      <c r="O47" t="s">
        <v>183</v>
      </c>
      <c r="P47">
        <v>17.46</v>
      </c>
      <c r="Q47">
        <v>2</v>
      </c>
      <c r="R47">
        <v>0</v>
      </c>
      <c r="S47">
        <v>8.2100000000000009</v>
      </c>
    </row>
    <row r="48" spans="1:19" x14ac:dyDescent="0.3">
      <c r="A48" t="s">
        <v>184</v>
      </c>
      <c r="B48">
        <v>2011</v>
      </c>
      <c r="C48" t="s">
        <v>43</v>
      </c>
      <c r="D48" t="s">
        <v>185</v>
      </c>
      <c r="E48">
        <v>5</v>
      </c>
      <c r="F48" t="s">
        <v>20</v>
      </c>
      <c r="G48" t="s">
        <v>186</v>
      </c>
      <c r="H48" t="s">
        <v>22</v>
      </c>
      <c r="I48" t="s">
        <v>23</v>
      </c>
      <c r="J48" t="s">
        <v>187</v>
      </c>
      <c r="K48" t="s">
        <v>188</v>
      </c>
      <c r="L48" t="s">
        <v>87</v>
      </c>
      <c r="M48" t="s">
        <v>40</v>
      </c>
      <c r="N48" t="s">
        <v>51</v>
      </c>
      <c r="O48" t="s">
        <v>189</v>
      </c>
      <c r="P48">
        <v>211.96</v>
      </c>
      <c r="Q48">
        <v>4</v>
      </c>
      <c r="R48">
        <v>0</v>
      </c>
      <c r="S48">
        <v>8.48</v>
      </c>
    </row>
    <row r="49" spans="1:19" x14ac:dyDescent="0.3">
      <c r="A49" t="s">
        <v>190</v>
      </c>
      <c r="B49">
        <v>2013</v>
      </c>
      <c r="C49" t="s">
        <v>33</v>
      </c>
      <c r="D49" t="s">
        <v>191</v>
      </c>
      <c r="E49">
        <v>5</v>
      </c>
      <c r="F49" t="s">
        <v>45</v>
      </c>
      <c r="G49" t="s">
        <v>192</v>
      </c>
      <c r="H49" t="s">
        <v>22</v>
      </c>
      <c r="I49" t="s">
        <v>23</v>
      </c>
      <c r="J49" t="s">
        <v>193</v>
      </c>
      <c r="K49" t="s">
        <v>194</v>
      </c>
      <c r="L49" t="s">
        <v>121</v>
      </c>
      <c r="M49" t="s">
        <v>59</v>
      </c>
      <c r="N49" t="s">
        <v>133</v>
      </c>
      <c r="O49" t="s">
        <v>195</v>
      </c>
      <c r="P49">
        <v>45</v>
      </c>
      <c r="Q49">
        <v>3</v>
      </c>
      <c r="R49">
        <v>0</v>
      </c>
      <c r="S49">
        <v>4.95</v>
      </c>
    </row>
    <row r="50" spans="1:19" x14ac:dyDescent="0.3">
      <c r="A50" t="s">
        <v>190</v>
      </c>
      <c r="B50">
        <v>2013</v>
      </c>
      <c r="C50" t="s">
        <v>33</v>
      </c>
      <c r="D50" t="s">
        <v>191</v>
      </c>
      <c r="E50">
        <v>5</v>
      </c>
      <c r="F50" t="s">
        <v>45</v>
      </c>
      <c r="G50" t="s">
        <v>192</v>
      </c>
      <c r="H50" t="s">
        <v>22</v>
      </c>
      <c r="I50" t="s">
        <v>23</v>
      </c>
      <c r="J50" t="s">
        <v>193</v>
      </c>
      <c r="K50" t="s">
        <v>194</v>
      </c>
      <c r="L50" t="s">
        <v>121</v>
      </c>
      <c r="M50" t="s">
        <v>59</v>
      </c>
      <c r="N50" t="s">
        <v>60</v>
      </c>
      <c r="O50" t="s">
        <v>196</v>
      </c>
      <c r="P50">
        <v>21.8</v>
      </c>
      <c r="Q50">
        <v>2</v>
      </c>
      <c r="R50">
        <v>0</v>
      </c>
      <c r="S50">
        <v>6.1</v>
      </c>
    </row>
    <row r="51" spans="1:19" x14ac:dyDescent="0.3">
      <c r="A51" t="s">
        <v>197</v>
      </c>
      <c r="B51">
        <v>2012</v>
      </c>
      <c r="C51" t="s">
        <v>69</v>
      </c>
      <c r="D51" t="s">
        <v>198</v>
      </c>
      <c r="E51">
        <v>4</v>
      </c>
      <c r="F51" t="s">
        <v>45</v>
      </c>
      <c r="G51" t="s">
        <v>199</v>
      </c>
      <c r="H51" t="s">
        <v>22</v>
      </c>
      <c r="I51" t="s">
        <v>23</v>
      </c>
      <c r="J51" t="s">
        <v>200</v>
      </c>
      <c r="K51" t="s">
        <v>201</v>
      </c>
      <c r="L51" t="s">
        <v>87</v>
      </c>
      <c r="M51" t="s">
        <v>40</v>
      </c>
      <c r="N51" t="s">
        <v>62</v>
      </c>
      <c r="O51" t="s">
        <v>202</v>
      </c>
      <c r="P51">
        <v>38.22</v>
      </c>
      <c r="Q51">
        <v>6</v>
      </c>
      <c r="R51">
        <v>0</v>
      </c>
      <c r="S51">
        <v>17.96</v>
      </c>
    </row>
    <row r="52" spans="1:19" x14ac:dyDescent="0.3">
      <c r="A52" t="s">
        <v>197</v>
      </c>
      <c r="B52">
        <v>2012</v>
      </c>
      <c r="C52" t="s">
        <v>69</v>
      </c>
      <c r="D52" t="s">
        <v>198</v>
      </c>
      <c r="E52">
        <v>4</v>
      </c>
      <c r="F52" t="s">
        <v>45</v>
      </c>
      <c r="G52" t="s">
        <v>199</v>
      </c>
      <c r="H52" t="s">
        <v>22</v>
      </c>
      <c r="I52" t="s">
        <v>23</v>
      </c>
      <c r="J52" t="s">
        <v>200</v>
      </c>
      <c r="K52" t="s">
        <v>201</v>
      </c>
      <c r="L52" t="s">
        <v>87</v>
      </c>
      <c r="M52" t="s">
        <v>40</v>
      </c>
      <c r="N52" t="s">
        <v>41</v>
      </c>
      <c r="O52" t="s">
        <v>203</v>
      </c>
      <c r="P52">
        <v>75.180000000000007</v>
      </c>
      <c r="Q52">
        <v>6</v>
      </c>
      <c r="R52">
        <v>0</v>
      </c>
      <c r="S52">
        <v>35.33</v>
      </c>
    </row>
    <row r="53" spans="1:19" x14ac:dyDescent="0.3">
      <c r="A53" t="s">
        <v>197</v>
      </c>
      <c r="B53">
        <v>2012</v>
      </c>
      <c r="C53" t="s">
        <v>69</v>
      </c>
      <c r="D53" t="s">
        <v>198</v>
      </c>
      <c r="E53">
        <v>4</v>
      </c>
      <c r="F53" t="s">
        <v>45</v>
      </c>
      <c r="G53" t="s">
        <v>199</v>
      </c>
      <c r="H53" t="s">
        <v>22</v>
      </c>
      <c r="I53" t="s">
        <v>23</v>
      </c>
      <c r="J53" t="s">
        <v>200</v>
      </c>
      <c r="K53" t="s">
        <v>201</v>
      </c>
      <c r="L53" t="s">
        <v>87</v>
      </c>
      <c r="M53" t="s">
        <v>27</v>
      </c>
      <c r="N53" t="s">
        <v>55</v>
      </c>
      <c r="O53" t="s">
        <v>204</v>
      </c>
      <c r="P53">
        <v>6.16</v>
      </c>
      <c r="Q53">
        <v>2</v>
      </c>
      <c r="R53">
        <v>0</v>
      </c>
      <c r="S53">
        <v>2.96</v>
      </c>
    </row>
    <row r="54" spans="1:19" x14ac:dyDescent="0.3">
      <c r="A54" t="s">
        <v>197</v>
      </c>
      <c r="B54">
        <v>2012</v>
      </c>
      <c r="C54" t="s">
        <v>69</v>
      </c>
      <c r="D54" t="s">
        <v>198</v>
      </c>
      <c r="E54">
        <v>4</v>
      </c>
      <c r="F54" t="s">
        <v>45</v>
      </c>
      <c r="G54" t="s">
        <v>199</v>
      </c>
      <c r="H54" t="s">
        <v>22</v>
      </c>
      <c r="I54" t="s">
        <v>23</v>
      </c>
      <c r="J54" t="s">
        <v>200</v>
      </c>
      <c r="K54" t="s">
        <v>201</v>
      </c>
      <c r="L54" t="s">
        <v>87</v>
      </c>
      <c r="M54" t="s">
        <v>27</v>
      </c>
      <c r="N54" t="s">
        <v>30</v>
      </c>
      <c r="O54" t="s">
        <v>205</v>
      </c>
      <c r="P54">
        <v>89.99</v>
      </c>
      <c r="Q54">
        <v>1</v>
      </c>
      <c r="R54">
        <v>0</v>
      </c>
      <c r="S54">
        <v>17.100000000000001</v>
      </c>
    </row>
    <row r="55" spans="1:19" x14ac:dyDescent="0.3">
      <c r="A55" s="1">
        <v>41620</v>
      </c>
      <c r="B55">
        <v>2013</v>
      </c>
      <c r="C55" t="s">
        <v>76</v>
      </c>
      <c r="D55" t="s">
        <v>206</v>
      </c>
      <c r="E55">
        <v>6</v>
      </c>
      <c r="F55" t="s">
        <v>45</v>
      </c>
      <c r="G55" t="s">
        <v>207</v>
      </c>
      <c r="H55" t="s">
        <v>36</v>
      </c>
      <c r="I55" t="s">
        <v>23</v>
      </c>
      <c r="J55" t="s">
        <v>208</v>
      </c>
      <c r="K55" t="s">
        <v>209</v>
      </c>
      <c r="L55" t="s">
        <v>121</v>
      </c>
      <c r="M55" t="s">
        <v>40</v>
      </c>
      <c r="N55" t="s">
        <v>210</v>
      </c>
      <c r="O55" t="s">
        <v>211</v>
      </c>
      <c r="P55">
        <v>15.26</v>
      </c>
      <c r="Q55">
        <v>7</v>
      </c>
      <c r="R55">
        <v>0</v>
      </c>
      <c r="S55">
        <v>6.26</v>
      </c>
    </row>
    <row r="56" spans="1:19" x14ac:dyDescent="0.3">
      <c r="A56" s="1">
        <v>41620</v>
      </c>
      <c r="B56">
        <v>2013</v>
      </c>
      <c r="C56" t="s">
        <v>76</v>
      </c>
      <c r="D56" t="s">
        <v>206</v>
      </c>
      <c r="E56">
        <v>6</v>
      </c>
      <c r="F56" t="s">
        <v>45</v>
      </c>
      <c r="G56" t="s">
        <v>207</v>
      </c>
      <c r="H56" t="s">
        <v>36</v>
      </c>
      <c r="I56" t="s">
        <v>23</v>
      </c>
      <c r="J56" t="s">
        <v>208</v>
      </c>
      <c r="K56" t="s">
        <v>209</v>
      </c>
      <c r="L56" t="s">
        <v>121</v>
      </c>
      <c r="M56" t="s">
        <v>59</v>
      </c>
      <c r="N56" t="s">
        <v>60</v>
      </c>
      <c r="O56" t="s">
        <v>212</v>
      </c>
      <c r="P56">
        <v>1029.95</v>
      </c>
      <c r="Q56">
        <v>5</v>
      </c>
      <c r="R56">
        <v>0</v>
      </c>
      <c r="S56">
        <v>298.69</v>
      </c>
    </row>
    <row r="57" spans="1:19" x14ac:dyDescent="0.3">
      <c r="A57" t="s">
        <v>213</v>
      </c>
      <c r="B57">
        <v>2013</v>
      </c>
      <c r="C57" t="s">
        <v>33</v>
      </c>
      <c r="D57" t="s">
        <v>214</v>
      </c>
      <c r="E57">
        <v>1</v>
      </c>
      <c r="F57" t="s">
        <v>151</v>
      </c>
      <c r="G57" t="s">
        <v>215</v>
      </c>
      <c r="H57" t="s">
        <v>22</v>
      </c>
      <c r="I57" t="s">
        <v>23</v>
      </c>
      <c r="J57" t="s">
        <v>216</v>
      </c>
      <c r="K57" t="s">
        <v>209</v>
      </c>
      <c r="L57" t="s">
        <v>121</v>
      </c>
      <c r="M57" t="s">
        <v>40</v>
      </c>
      <c r="N57" t="s">
        <v>51</v>
      </c>
      <c r="O57" t="s">
        <v>217</v>
      </c>
      <c r="P57">
        <v>208.56</v>
      </c>
      <c r="Q57">
        <v>6</v>
      </c>
      <c r="R57">
        <v>0</v>
      </c>
      <c r="S57">
        <v>52.14</v>
      </c>
    </row>
    <row r="58" spans="1:19" x14ac:dyDescent="0.3">
      <c r="A58" t="s">
        <v>213</v>
      </c>
      <c r="B58">
        <v>2013</v>
      </c>
      <c r="C58" t="s">
        <v>33</v>
      </c>
      <c r="D58" t="s">
        <v>214</v>
      </c>
      <c r="E58">
        <v>1</v>
      </c>
      <c r="F58" t="s">
        <v>151</v>
      </c>
      <c r="G58" t="s">
        <v>215</v>
      </c>
      <c r="H58" t="s">
        <v>22</v>
      </c>
      <c r="I58" t="s">
        <v>23</v>
      </c>
      <c r="J58" t="s">
        <v>216</v>
      </c>
      <c r="K58" t="s">
        <v>209</v>
      </c>
      <c r="L58" t="s">
        <v>121</v>
      </c>
      <c r="M58" t="s">
        <v>40</v>
      </c>
      <c r="N58" t="s">
        <v>74</v>
      </c>
      <c r="O58" t="s">
        <v>218</v>
      </c>
      <c r="P58">
        <v>32.4</v>
      </c>
      <c r="Q58">
        <v>5</v>
      </c>
      <c r="R58">
        <v>0</v>
      </c>
      <c r="S58">
        <v>15.55</v>
      </c>
    </row>
    <row r="59" spans="1:19" x14ac:dyDescent="0.3">
      <c r="A59" t="s">
        <v>213</v>
      </c>
      <c r="B59">
        <v>2013</v>
      </c>
      <c r="C59" t="s">
        <v>33</v>
      </c>
      <c r="D59" t="s">
        <v>214</v>
      </c>
      <c r="E59">
        <v>1</v>
      </c>
      <c r="F59" t="s">
        <v>151</v>
      </c>
      <c r="G59" t="s">
        <v>215</v>
      </c>
      <c r="H59" t="s">
        <v>22</v>
      </c>
      <c r="I59" t="s">
        <v>23</v>
      </c>
      <c r="J59" t="s">
        <v>216</v>
      </c>
      <c r="K59" t="s">
        <v>209</v>
      </c>
      <c r="L59" t="s">
        <v>121</v>
      </c>
      <c r="M59" t="s">
        <v>27</v>
      </c>
      <c r="N59" t="s">
        <v>30</v>
      </c>
      <c r="O59" t="s">
        <v>219</v>
      </c>
      <c r="P59">
        <v>319.41000000000003</v>
      </c>
      <c r="Q59">
        <v>5</v>
      </c>
      <c r="R59">
        <v>0.1</v>
      </c>
      <c r="S59">
        <v>7.1</v>
      </c>
    </row>
    <row r="60" spans="1:19" x14ac:dyDescent="0.3">
      <c r="A60" t="s">
        <v>213</v>
      </c>
      <c r="B60">
        <v>2013</v>
      </c>
      <c r="C60" t="s">
        <v>33</v>
      </c>
      <c r="D60" t="s">
        <v>214</v>
      </c>
      <c r="E60">
        <v>1</v>
      </c>
      <c r="F60" t="s">
        <v>151</v>
      </c>
      <c r="G60" t="s">
        <v>215</v>
      </c>
      <c r="H60" t="s">
        <v>22</v>
      </c>
      <c r="I60" t="s">
        <v>23</v>
      </c>
      <c r="J60" t="s">
        <v>216</v>
      </c>
      <c r="K60" t="s">
        <v>209</v>
      </c>
      <c r="L60" t="s">
        <v>121</v>
      </c>
      <c r="M60" t="s">
        <v>40</v>
      </c>
      <c r="N60" t="s">
        <v>74</v>
      </c>
      <c r="O60" t="s">
        <v>220</v>
      </c>
      <c r="P60">
        <v>14.56</v>
      </c>
      <c r="Q60">
        <v>2</v>
      </c>
      <c r="R60">
        <v>0</v>
      </c>
      <c r="S60">
        <v>6.99</v>
      </c>
    </row>
    <row r="61" spans="1:19" x14ac:dyDescent="0.3">
      <c r="A61" t="s">
        <v>213</v>
      </c>
      <c r="B61">
        <v>2013</v>
      </c>
      <c r="C61" t="s">
        <v>33</v>
      </c>
      <c r="D61" t="s">
        <v>214</v>
      </c>
      <c r="E61">
        <v>1</v>
      </c>
      <c r="F61" t="s">
        <v>151</v>
      </c>
      <c r="G61" t="s">
        <v>215</v>
      </c>
      <c r="H61" t="s">
        <v>22</v>
      </c>
      <c r="I61" t="s">
        <v>23</v>
      </c>
      <c r="J61" t="s">
        <v>216</v>
      </c>
      <c r="K61" t="s">
        <v>209</v>
      </c>
      <c r="L61" t="s">
        <v>121</v>
      </c>
      <c r="M61" t="s">
        <v>59</v>
      </c>
      <c r="N61" t="s">
        <v>133</v>
      </c>
      <c r="O61" t="s">
        <v>195</v>
      </c>
      <c r="P61">
        <v>30</v>
      </c>
      <c r="Q61">
        <v>2</v>
      </c>
      <c r="R61">
        <v>0</v>
      </c>
      <c r="S61">
        <v>3.3</v>
      </c>
    </row>
    <row r="62" spans="1:19" x14ac:dyDescent="0.3">
      <c r="A62" t="s">
        <v>213</v>
      </c>
      <c r="B62">
        <v>2013</v>
      </c>
      <c r="C62" t="s">
        <v>33</v>
      </c>
      <c r="D62" t="s">
        <v>214</v>
      </c>
      <c r="E62">
        <v>1</v>
      </c>
      <c r="F62" t="s">
        <v>151</v>
      </c>
      <c r="G62" t="s">
        <v>215</v>
      </c>
      <c r="H62" t="s">
        <v>22</v>
      </c>
      <c r="I62" t="s">
        <v>23</v>
      </c>
      <c r="J62" t="s">
        <v>216</v>
      </c>
      <c r="K62" t="s">
        <v>209</v>
      </c>
      <c r="L62" t="s">
        <v>121</v>
      </c>
      <c r="M62" t="s">
        <v>40</v>
      </c>
      <c r="N62" t="s">
        <v>62</v>
      </c>
      <c r="O62" t="s">
        <v>221</v>
      </c>
      <c r="P62">
        <v>48.48</v>
      </c>
      <c r="Q62">
        <v>4</v>
      </c>
      <c r="R62">
        <v>0.2</v>
      </c>
      <c r="S62">
        <v>16.36</v>
      </c>
    </row>
    <row r="63" spans="1:19" x14ac:dyDescent="0.3">
      <c r="A63" t="s">
        <v>213</v>
      </c>
      <c r="B63">
        <v>2013</v>
      </c>
      <c r="C63" t="s">
        <v>33</v>
      </c>
      <c r="D63" t="s">
        <v>214</v>
      </c>
      <c r="E63">
        <v>1</v>
      </c>
      <c r="F63" t="s">
        <v>151</v>
      </c>
      <c r="G63" t="s">
        <v>215</v>
      </c>
      <c r="H63" t="s">
        <v>22</v>
      </c>
      <c r="I63" t="s">
        <v>23</v>
      </c>
      <c r="J63" t="s">
        <v>216</v>
      </c>
      <c r="K63" t="s">
        <v>209</v>
      </c>
      <c r="L63" t="s">
        <v>121</v>
      </c>
      <c r="M63" t="s">
        <v>40</v>
      </c>
      <c r="N63" t="s">
        <v>57</v>
      </c>
      <c r="O63" t="s">
        <v>222</v>
      </c>
      <c r="P63">
        <v>1.68</v>
      </c>
      <c r="Q63">
        <v>1</v>
      </c>
      <c r="R63">
        <v>0</v>
      </c>
      <c r="S63">
        <v>0.84</v>
      </c>
    </row>
    <row r="64" spans="1:19" x14ac:dyDescent="0.3">
      <c r="A64" t="s">
        <v>223</v>
      </c>
      <c r="B64">
        <v>2012</v>
      </c>
      <c r="C64" t="s">
        <v>19</v>
      </c>
      <c r="D64" t="s">
        <v>224</v>
      </c>
      <c r="E64">
        <v>6</v>
      </c>
      <c r="F64" t="s">
        <v>45</v>
      </c>
      <c r="G64" t="s">
        <v>225</v>
      </c>
      <c r="H64" t="s">
        <v>22</v>
      </c>
      <c r="I64" t="s">
        <v>23</v>
      </c>
      <c r="J64" t="s">
        <v>37</v>
      </c>
      <c r="K64" t="s">
        <v>38</v>
      </c>
      <c r="L64" t="s">
        <v>39</v>
      </c>
      <c r="M64" t="s">
        <v>59</v>
      </c>
      <c r="N64" t="s">
        <v>133</v>
      </c>
      <c r="O64" t="s">
        <v>226</v>
      </c>
      <c r="P64">
        <v>13.98</v>
      </c>
      <c r="Q64">
        <v>2</v>
      </c>
      <c r="R64">
        <v>0</v>
      </c>
      <c r="S64">
        <v>6.15</v>
      </c>
    </row>
    <row r="65" spans="1:19" x14ac:dyDescent="0.3">
      <c r="A65" t="s">
        <v>223</v>
      </c>
      <c r="B65">
        <v>2012</v>
      </c>
      <c r="C65" t="s">
        <v>19</v>
      </c>
      <c r="D65" t="s">
        <v>224</v>
      </c>
      <c r="E65">
        <v>6</v>
      </c>
      <c r="F65" t="s">
        <v>45</v>
      </c>
      <c r="G65" t="s">
        <v>225</v>
      </c>
      <c r="H65" t="s">
        <v>22</v>
      </c>
      <c r="I65" t="s">
        <v>23</v>
      </c>
      <c r="J65" t="s">
        <v>37</v>
      </c>
      <c r="K65" t="s">
        <v>38</v>
      </c>
      <c r="L65" t="s">
        <v>39</v>
      </c>
      <c r="M65" t="s">
        <v>40</v>
      </c>
      <c r="N65" t="s">
        <v>62</v>
      </c>
      <c r="O65" t="s">
        <v>227</v>
      </c>
      <c r="P65">
        <v>25.82</v>
      </c>
      <c r="Q65">
        <v>6</v>
      </c>
      <c r="R65">
        <v>0.2</v>
      </c>
      <c r="S65">
        <v>9.36</v>
      </c>
    </row>
    <row r="66" spans="1:19" x14ac:dyDescent="0.3">
      <c r="A66" t="s">
        <v>223</v>
      </c>
      <c r="B66">
        <v>2012</v>
      </c>
      <c r="C66" t="s">
        <v>19</v>
      </c>
      <c r="D66" t="s">
        <v>224</v>
      </c>
      <c r="E66">
        <v>6</v>
      </c>
      <c r="F66" t="s">
        <v>45</v>
      </c>
      <c r="G66" t="s">
        <v>225</v>
      </c>
      <c r="H66" t="s">
        <v>22</v>
      </c>
      <c r="I66" t="s">
        <v>23</v>
      </c>
      <c r="J66" t="s">
        <v>37</v>
      </c>
      <c r="K66" t="s">
        <v>38</v>
      </c>
      <c r="L66" t="s">
        <v>39</v>
      </c>
      <c r="M66" t="s">
        <v>40</v>
      </c>
      <c r="N66" t="s">
        <v>74</v>
      </c>
      <c r="O66" t="s">
        <v>228</v>
      </c>
      <c r="P66">
        <v>146.72999999999999</v>
      </c>
      <c r="Q66">
        <v>3</v>
      </c>
      <c r="R66">
        <v>0</v>
      </c>
      <c r="S66">
        <v>68.959999999999994</v>
      </c>
    </row>
    <row r="67" spans="1:19" x14ac:dyDescent="0.3">
      <c r="A67" t="s">
        <v>223</v>
      </c>
      <c r="B67">
        <v>2012</v>
      </c>
      <c r="C67" t="s">
        <v>19</v>
      </c>
      <c r="D67" t="s">
        <v>224</v>
      </c>
      <c r="E67">
        <v>6</v>
      </c>
      <c r="F67" t="s">
        <v>45</v>
      </c>
      <c r="G67" t="s">
        <v>225</v>
      </c>
      <c r="H67" t="s">
        <v>22</v>
      </c>
      <c r="I67" t="s">
        <v>23</v>
      </c>
      <c r="J67" t="s">
        <v>37</v>
      </c>
      <c r="K67" t="s">
        <v>38</v>
      </c>
      <c r="L67" t="s">
        <v>39</v>
      </c>
      <c r="M67" t="s">
        <v>27</v>
      </c>
      <c r="N67" t="s">
        <v>55</v>
      </c>
      <c r="O67" t="s">
        <v>229</v>
      </c>
      <c r="P67">
        <v>79.760000000000005</v>
      </c>
      <c r="Q67">
        <v>4</v>
      </c>
      <c r="R67">
        <v>0</v>
      </c>
      <c r="S67">
        <v>22.33</v>
      </c>
    </row>
    <row r="68" spans="1:19" x14ac:dyDescent="0.3">
      <c r="A68" t="s">
        <v>230</v>
      </c>
      <c r="B68">
        <v>2012</v>
      </c>
      <c r="C68" t="s">
        <v>69</v>
      </c>
      <c r="D68" s="1">
        <v>41034</v>
      </c>
      <c r="E68">
        <v>5</v>
      </c>
      <c r="F68" t="s">
        <v>45</v>
      </c>
      <c r="G68" t="s">
        <v>231</v>
      </c>
      <c r="H68" t="s">
        <v>84</v>
      </c>
      <c r="I68" t="s">
        <v>23</v>
      </c>
      <c r="J68" t="s">
        <v>232</v>
      </c>
      <c r="K68" t="s">
        <v>166</v>
      </c>
      <c r="L68" t="s">
        <v>87</v>
      </c>
      <c r="M68" t="s">
        <v>27</v>
      </c>
      <c r="N68" t="s">
        <v>30</v>
      </c>
      <c r="O68" t="s">
        <v>233</v>
      </c>
      <c r="P68">
        <v>213.12</v>
      </c>
      <c r="Q68">
        <v>5</v>
      </c>
      <c r="R68">
        <v>0.3</v>
      </c>
      <c r="S68">
        <v>-15.22</v>
      </c>
    </row>
    <row r="69" spans="1:19" x14ac:dyDescent="0.3">
      <c r="A69" s="1">
        <v>40675</v>
      </c>
      <c r="B69">
        <v>2011</v>
      </c>
      <c r="C69" t="s">
        <v>76</v>
      </c>
      <c r="D69" s="1">
        <v>40828</v>
      </c>
      <c r="E69">
        <v>5</v>
      </c>
      <c r="F69" t="s">
        <v>45</v>
      </c>
      <c r="G69" t="s">
        <v>234</v>
      </c>
      <c r="H69" t="s">
        <v>36</v>
      </c>
      <c r="I69" t="s">
        <v>23</v>
      </c>
      <c r="J69" t="s">
        <v>235</v>
      </c>
      <c r="K69" t="s">
        <v>236</v>
      </c>
      <c r="L69" t="s">
        <v>39</v>
      </c>
      <c r="M69" t="s">
        <v>40</v>
      </c>
      <c r="N69" t="s">
        <v>57</v>
      </c>
      <c r="O69" t="s">
        <v>237</v>
      </c>
      <c r="P69">
        <v>1113.02</v>
      </c>
      <c r="Q69">
        <v>8</v>
      </c>
      <c r="R69">
        <v>0.2</v>
      </c>
      <c r="S69">
        <v>111.3</v>
      </c>
    </row>
    <row r="70" spans="1:19" x14ac:dyDescent="0.3">
      <c r="A70" s="1">
        <v>40675</v>
      </c>
      <c r="B70">
        <v>2011</v>
      </c>
      <c r="C70" t="s">
        <v>76</v>
      </c>
      <c r="D70" s="1">
        <v>40828</v>
      </c>
      <c r="E70">
        <v>5</v>
      </c>
      <c r="F70" t="s">
        <v>45</v>
      </c>
      <c r="G70" t="s">
        <v>234</v>
      </c>
      <c r="H70" t="s">
        <v>36</v>
      </c>
      <c r="I70" t="s">
        <v>23</v>
      </c>
      <c r="J70" t="s">
        <v>235</v>
      </c>
      <c r="K70" t="s">
        <v>236</v>
      </c>
      <c r="L70" t="s">
        <v>39</v>
      </c>
      <c r="M70" t="s">
        <v>59</v>
      </c>
      <c r="N70" t="s">
        <v>60</v>
      </c>
      <c r="O70" t="s">
        <v>238</v>
      </c>
      <c r="P70">
        <v>167.97</v>
      </c>
      <c r="Q70">
        <v>4</v>
      </c>
      <c r="R70">
        <v>0.2</v>
      </c>
      <c r="S70">
        <v>62.99</v>
      </c>
    </row>
    <row r="71" spans="1:19" x14ac:dyDescent="0.3">
      <c r="A71" s="1">
        <v>41400</v>
      </c>
      <c r="B71">
        <v>2013</v>
      </c>
      <c r="C71" t="s">
        <v>33</v>
      </c>
      <c r="D71" s="1">
        <v>41461</v>
      </c>
      <c r="E71">
        <v>2</v>
      </c>
      <c r="F71" t="s">
        <v>151</v>
      </c>
      <c r="G71" t="s">
        <v>239</v>
      </c>
      <c r="H71" t="s">
        <v>22</v>
      </c>
      <c r="I71" t="s">
        <v>23</v>
      </c>
      <c r="J71" t="s">
        <v>240</v>
      </c>
      <c r="K71" t="s">
        <v>241</v>
      </c>
      <c r="L71" t="s">
        <v>26</v>
      </c>
      <c r="M71" t="s">
        <v>40</v>
      </c>
      <c r="N71" t="s">
        <v>74</v>
      </c>
      <c r="O71" t="s">
        <v>242</v>
      </c>
      <c r="P71">
        <v>75.88</v>
      </c>
      <c r="Q71">
        <v>2</v>
      </c>
      <c r="R71">
        <v>0</v>
      </c>
      <c r="S71">
        <v>35.659999999999997</v>
      </c>
    </row>
    <row r="72" spans="1:19" x14ac:dyDescent="0.3">
      <c r="A72" t="s">
        <v>243</v>
      </c>
      <c r="B72">
        <v>2013</v>
      </c>
      <c r="C72" t="s">
        <v>124</v>
      </c>
      <c r="D72" t="s">
        <v>244</v>
      </c>
      <c r="E72">
        <v>5</v>
      </c>
      <c r="F72" t="s">
        <v>45</v>
      </c>
      <c r="G72" t="s">
        <v>245</v>
      </c>
      <c r="H72" t="s">
        <v>22</v>
      </c>
      <c r="I72" t="s">
        <v>23</v>
      </c>
      <c r="J72" t="s">
        <v>208</v>
      </c>
      <c r="K72" t="s">
        <v>209</v>
      </c>
      <c r="L72" t="s">
        <v>121</v>
      </c>
      <c r="M72" t="s">
        <v>40</v>
      </c>
      <c r="N72" t="s">
        <v>62</v>
      </c>
      <c r="O72" t="s">
        <v>246</v>
      </c>
      <c r="P72">
        <v>4.62</v>
      </c>
      <c r="Q72">
        <v>1</v>
      </c>
      <c r="R72">
        <v>0.2</v>
      </c>
      <c r="S72">
        <v>1.73</v>
      </c>
    </row>
    <row r="73" spans="1:19" x14ac:dyDescent="0.3">
      <c r="A73" t="s">
        <v>247</v>
      </c>
      <c r="B73">
        <v>2014</v>
      </c>
      <c r="C73" t="s">
        <v>124</v>
      </c>
      <c r="D73" t="s">
        <v>248</v>
      </c>
      <c r="E73">
        <v>3</v>
      </c>
      <c r="F73" t="s">
        <v>20</v>
      </c>
      <c r="G73" t="s">
        <v>137</v>
      </c>
      <c r="H73" t="s">
        <v>22</v>
      </c>
      <c r="I73" t="s">
        <v>23</v>
      </c>
      <c r="J73" t="s">
        <v>249</v>
      </c>
      <c r="K73" t="s">
        <v>188</v>
      </c>
      <c r="L73" t="s">
        <v>87</v>
      </c>
      <c r="M73" t="s">
        <v>40</v>
      </c>
      <c r="N73" t="s">
        <v>74</v>
      </c>
      <c r="O73" t="s">
        <v>250</v>
      </c>
      <c r="P73">
        <v>19.05</v>
      </c>
      <c r="Q73">
        <v>3</v>
      </c>
      <c r="R73">
        <v>0</v>
      </c>
      <c r="S73">
        <v>8.76</v>
      </c>
    </row>
    <row r="74" spans="1:19" x14ac:dyDescent="0.3">
      <c r="A74" t="s">
        <v>251</v>
      </c>
      <c r="B74">
        <v>2012</v>
      </c>
      <c r="C74" t="s">
        <v>69</v>
      </c>
      <c r="D74" s="1">
        <v>40944</v>
      </c>
      <c r="E74">
        <v>6</v>
      </c>
      <c r="F74" t="s">
        <v>45</v>
      </c>
      <c r="G74" t="s">
        <v>252</v>
      </c>
      <c r="H74" t="s">
        <v>22</v>
      </c>
      <c r="I74" t="s">
        <v>23</v>
      </c>
      <c r="J74" t="s">
        <v>253</v>
      </c>
      <c r="K74" t="s">
        <v>254</v>
      </c>
      <c r="L74" t="s">
        <v>26</v>
      </c>
      <c r="M74" t="s">
        <v>27</v>
      </c>
      <c r="N74" t="s">
        <v>30</v>
      </c>
      <c r="O74" t="s">
        <v>255</v>
      </c>
      <c r="P74">
        <v>831.94</v>
      </c>
      <c r="Q74">
        <v>8</v>
      </c>
      <c r="R74">
        <v>0.2</v>
      </c>
      <c r="S74">
        <v>-114.39</v>
      </c>
    </row>
    <row r="75" spans="1:19" x14ac:dyDescent="0.3">
      <c r="A75" t="s">
        <v>251</v>
      </c>
      <c r="B75">
        <v>2012</v>
      </c>
      <c r="C75" t="s">
        <v>69</v>
      </c>
      <c r="D75" s="1">
        <v>40944</v>
      </c>
      <c r="E75">
        <v>6</v>
      </c>
      <c r="F75" t="s">
        <v>45</v>
      </c>
      <c r="G75" t="s">
        <v>252</v>
      </c>
      <c r="H75" t="s">
        <v>22</v>
      </c>
      <c r="I75" t="s">
        <v>23</v>
      </c>
      <c r="J75" t="s">
        <v>253</v>
      </c>
      <c r="K75" t="s">
        <v>254</v>
      </c>
      <c r="L75" t="s">
        <v>26</v>
      </c>
      <c r="M75" t="s">
        <v>27</v>
      </c>
      <c r="N75" t="s">
        <v>55</v>
      </c>
      <c r="O75" t="s">
        <v>256</v>
      </c>
      <c r="P75">
        <v>97.04</v>
      </c>
      <c r="Q75">
        <v>2</v>
      </c>
      <c r="R75">
        <v>0.2</v>
      </c>
      <c r="S75">
        <v>1.21</v>
      </c>
    </row>
    <row r="76" spans="1:19" x14ac:dyDescent="0.3">
      <c r="A76" t="s">
        <v>251</v>
      </c>
      <c r="B76">
        <v>2012</v>
      </c>
      <c r="C76" t="s">
        <v>69</v>
      </c>
      <c r="D76" s="1">
        <v>40944</v>
      </c>
      <c r="E76">
        <v>6</v>
      </c>
      <c r="F76" t="s">
        <v>45</v>
      </c>
      <c r="G76" t="s">
        <v>252</v>
      </c>
      <c r="H76" t="s">
        <v>22</v>
      </c>
      <c r="I76" t="s">
        <v>23</v>
      </c>
      <c r="J76" t="s">
        <v>253</v>
      </c>
      <c r="K76" t="s">
        <v>254</v>
      </c>
      <c r="L76" t="s">
        <v>26</v>
      </c>
      <c r="M76" t="s">
        <v>40</v>
      </c>
      <c r="N76" t="s">
        <v>51</v>
      </c>
      <c r="O76" t="s">
        <v>257</v>
      </c>
      <c r="P76">
        <v>72.78</v>
      </c>
      <c r="Q76">
        <v>1</v>
      </c>
      <c r="R76">
        <v>0.2</v>
      </c>
      <c r="S76">
        <v>-18.2</v>
      </c>
    </row>
    <row r="77" spans="1:19" x14ac:dyDescent="0.3">
      <c r="A77" s="1">
        <v>41924</v>
      </c>
      <c r="B77">
        <v>2014</v>
      </c>
      <c r="C77" t="s">
        <v>76</v>
      </c>
      <c r="D77" s="1">
        <v>41985</v>
      </c>
      <c r="E77">
        <v>2</v>
      </c>
      <c r="F77" t="s">
        <v>151</v>
      </c>
      <c r="G77" t="s">
        <v>258</v>
      </c>
      <c r="H77" t="s">
        <v>36</v>
      </c>
      <c r="I77" t="s">
        <v>23</v>
      </c>
      <c r="J77" t="s">
        <v>149</v>
      </c>
      <c r="K77" t="s">
        <v>86</v>
      </c>
      <c r="L77" t="s">
        <v>87</v>
      </c>
      <c r="M77" t="s">
        <v>40</v>
      </c>
      <c r="N77" t="s">
        <v>62</v>
      </c>
      <c r="O77" t="s">
        <v>259</v>
      </c>
      <c r="P77">
        <v>1.25</v>
      </c>
      <c r="Q77">
        <v>3</v>
      </c>
      <c r="R77">
        <v>0.8</v>
      </c>
      <c r="S77">
        <v>-1.93</v>
      </c>
    </row>
    <row r="78" spans="1:19" x14ac:dyDescent="0.3">
      <c r="A78" s="1">
        <v>41924</v>
      </c>
      <c r="B78">
        <v>2014</v>
      </c>
      <c r="C78" t="s">
        <v>76</v>
      </c>
      <c r="D78" s="1">
        <v>41985</v>
      </c>
      <c r="E78">
        <v>2</v>
      </c>
      <c r="F78" t="s">
        <v>151</v>
      </c>
      <c r="G78" t="s">
        <v>258</v>
      </c>
      <c r="H78" t="s">
        <v>36</v>
      </c>
      <c r="I78" t="s">
        <v>23</v>
      </c>
      <c r="J78" t="s">
        <v>149</v>
      </c>
      <c r="K78" t="s">
        <v>86</v>
      </c>
      <c r="L78" t="s">
        <v>87</v>
      </c>
      <c r="M78" t="s">
        <v>27</v>
      </c>
      <c r="N78" t="s">
        <v>55</v>
      </c>
      <c r="O78" t="s">
        <v>260</v>
      </c>
      <c r="P78">
        <v>9.7100000000000009</v>
      </c>
      <c r="Q78">
        <v>3</v>
      </c>
      <c r="R78">
        <v>0.6</v>
      </c>
      <c r="S78">
        <v>-5.82</v>
      </c>
    </row>
    <row r="79" spans="1:19" x14ac:dyDescent="0.3">
      <c r="A79" s="1">
        <v>41924</v>
      </c>
      <c r="B79">
        <v>2014</v>
      </c>
      <c r="C79" t="s">
        <v>76</v>
      </c>
      <c r="D79" s="1">
        <v>41985</v>
      </c>
      <c r="E79">
        <v>2</v>
      </c>
      <c r="F79" t="s">
        <v>151</v>
      </c>
      <c r="G79" t="s">
        <v>258</v>
      </c>
      <c r="H79" t="s">
        <v>36</v>
      </c>
      <c r="I79" t="s">
        <v>23</v>
      </c>
      <c r="J79" t="s">
        <v>149</v>
      </c>
      <c r="K79" t="s">
        <v>86</v>
      </c>
      <c r="L79" t="s">
        <v>87</v>
      </c>
      <c r="M79" t="s">
        <v>40</v>
      </c>
      <c r="N79" t="s">
        <v>51</v>
      </c>
      <c r="O79" t="s">
        <v>261</v>
      </c>
      <c r="P79">
        <v>27.24</v>
      </c>
      <c r="Q79">
        <v>3</v>
      </c>
      <c r="R79">
        <v>0.2</v>
      </c>
      <c r="S79">
        <v>2.72</v>
      </c>
    </row>
    <row r="80" spans="1:19" x14ac:dyDescent="0.3">
      <c r="A80" t="s">
        <v>262</v>
      </c>
      <c r="B80">
        <v>2011</v>
      </c>
      <c r="C80" t="s">
        <v>19</v>
      </c>
      <c r="D80" s="1">
        <v>40555</v>
      </c>
      <c r="E80">
        <v>5</v>
      </c>
      <c r="F80" t="s">
        <v>20</v>
      </c>
      <c r="G80" t="s">
        <v>252</v>
      </c>
      <c r="H80" t="s">
        <v>22</v>
      </c>
      <c r="I80" t="s">
        <v>23</v>
      </c>
      <c r="J80" t="s">
        <v>149</v>
      </c>
      <c r="K80" t="s">
        <v>86</v>
      </c>
      <c r="L80" t="s">
        <v>87</v>
      </c>
      <c r="M80" t="s">
        <v>27</v>
      </c>
      <c r="N80" t="s">
        <v>55</v>
      </c>
      <c r="O80" t="s">
        <v>263</v>
      </c>
      <c r="P80">
        <v>19.3</v>
      </c>
      <c r="Q80">
        <v>5</v>
      </c>
      <c r="R80">
        <v>0.6</v>
      </c>
      <c r="S80">
        <v>-14.48</v>
      </c>
    </row>
    <row r="81" spans="1:19" x14ac:dyDescent="0.3">
      <c r="A81" t="s">
        <v>32</v>
      </c>
      <c r="B81">
        <v>2013</v>
      </c>
      <c r="C81" t="s">
        <v>33</v>
      </c>
      <c r="D81" t="s">
        <v>264</v>
      </c>
      <c r="E81">
        <v>3</v>
      </c>
      <c r="F81" t="s">
        <v>151</v>
      </c>
      <c r="G81" t="s">
        <v>265</v>
      </c>
      <c r="H81" t="s">
        <v>36</v>
      </c>
      <c r="I81" t="s">
        <v>23</v>
      </c>
      <c r="J81" t="s">
        <v>266</v>
      </c>
      <c r="K81" t="s">
        <v>267</v>
      </c>
      <c r="L81" t="s">
        <v>26</v>
      </c>
      <c r="M81" t="s">
        <v>40</v>
      </c>
      <c r="N81" t="s">
        <v>64</v>
      </c>
      <c r="O81" t="s">
        <v>268</v>
      </c>
      <c r="P81">
        <v>208.16</v>
      </c>
      <c r="Q81">
        <v>1</v>
      </c>
      <c r="R81">
        <v>0</v>
      </c>
      <c r="S81">
        <v>56.2</v>
      </c>
    </row>
    <row r="82" spans="1:19" x14ac:dyDescent="0.3">
      <c r="A82" t="s">
        <v>32</v>
      </c>
      <c r="B82">
        <v>2013</v>
      </c>
      <c r="C82" t="s">
        <v>33</v>
      </c>
      <c r="D82" t="s">
        <v>264</v>
      </c>
      <c r="E82">
        <v>3</v>
      </c>
      <c r="F82" t="s">
        <v>151</v>
      </c>
      <c r="G82" t="s">
        <v>265</v>
      </c>
      <c r="H82" t="s">
        <v>36</v>
      </c>
      <c r="I82" t="s">
        <v>23</v>
      </c>
      <c r="J82" t="s">
        <v>266</v>
      </c>
      <c r="K82" t="s">
        <v>267</v>
      </c>
      <c r="L82" t="s">
        <v>26</v>
      </c>
      <c r="M82" t="s">
        <v>40</v>
      </c>
      <c r="N82" t="s">
        <v>62</v>
      </c>
      <c r="O82" t="s">
        <v>269</v>
      </c>
      <c r="P82">
        <v>16.739999999999998</v>
      </c>
      <c r="Q82">
        <v>3</v>
      </c>
      <c r="R82">
        <v>0</v>
      </c>
      <c r="S82">
        <v>8.0399999999999991</v>
      </c>
    </row>
    <row r="83" spans="1:19" x14ac:dyDescent="0.3">
      <c r="A83" s="1">
        <v>40887</v>
      </c>
      <c r="B83">
        <v>2011</v>
      </c>
      <c r="C83" t="s">
        <v>43</v>
      </c>
      <c r="D83" t="s">
        <v>270</v>
      </c>
      <c r="E83">
        <v>4</v>
      </c>
      <c r="F83" t="s">
        <v>45</v>
      </c>
      <c r="G83" t="s">
        <v>271</v>
      </c>
      <c r="H83" t="s">
        <v>22</v>
      </c>
      <c r="I83" t="s">
        <v>23</v>
      </c>
      <c r="J83" t="s">
        <v>105</v>
      </c>
      <c r="K83" t="s">
        <v>38</v>
      </c>
      <c r="L83" t="s">
        <v>39</v>
      </c>
      <c r="M83" t="s">
        <v>40</v>
      </c>
      <c r="N83" t="s">
        <v>57</v>
      </c>
      <c r="O83" t="s">
        <v>272</v>
      </c>
      <c r="P83">
        <v>14.9</v>
      </c>
      <c r="Q83">
        <v>5</v>
      </c>
      <c r="R83">
        <v>0</v>
      </c>
      <c r="S83">
        <v>4.17</v>
      </c>
    </row>
    <row r="84" spans="1:19" x14ac:dyDescent="0.3">
      <c r="A84" s="1">
        <v>40887</v>
      </c>
      <c r="B84">
        <v>2011</v>
      </c>
      <c r="C84" t="s">
        <v>43</v>
      </c>
      <c r="D84" t="s">
        <v>270</v>
      </c>
      <c r="E84">
        <v>4</v>
      </c>
      <c r="F84" t="s">
        <v>45</v>
      </c>
      <c r="G84" t="s">
        <v>271</v>
      </c>
      <c r="H84" t="s">
        <v>22</v>
      </c>
      <c r="I84" t="s">
        <v>23</v>
      </c>
      <c r="J84" t="s">
        <v>105</v>
      </c>
      <c r="K84" t="s">
        <v>38</v>
      </c>
      <c r="L84" t="s">
        <v>39</v>
      </c>
      <c r="M84" t="s">
        <v>40</v>
      </c>
      <c r="N84" t="s">
        <v>51</v>
      </c>
      <c r="O84" t="s">
        <v>273</v>
      </c>
      <c r="P84">
        <v>21.39</v>
      </c>
      <c r="Q84">
        <v>1</v>
      </c>
      <c r="R84">
        <v>0</v>
      </c>
      <c r="S84">
        <v>6.2</v>
      </c>
    </row>
    <row r="85" spans="1:19" x14ac:dyDescent="0.3">
      <c r="A85" s="1">
        <v>40977</v>
      </c>
      <c r="B85">
        <v>2012</v>
      </c>
      <c r="C85" t="s">
        <v>124</v>
      </c>
      <c r="D85" s="1">
        <v>41130</v>
      </c>
      <c r="E85">
        <v>5</v>
      </c>
      <c r="F85" t="s">
        <v>45</v>
      </c>
      <c r="G85" t="s">
        <v>274</v>
      </c>
      <c r="H85" t="s">
        <v>36</v>
      </c>
      <c r="I85" t="s">
        <v>23</v>
      </c>
      <c r="J85" t="s">
        <v>275</v>
      </c>
      <c r="K85" t="s">
        <v>73</v>
      </c>
      <c r="L85" t="s">
        <v>26</v>
      </c>
      <c r="M85" t="s">
        <v>40</v>
      </c>
      <c r="N85" t="s">
        <v>141</v>
      </c>
      <c r="O85" t="s">
        <v>276</v>
      </c>
      <c r="P85">
        <v>200.98</v>
      </c>
      <c r="Q85">
        <v>7</v>
      </c>
      <c r="R85">
        <v>0.2</v>
      </c>
      <c r="S85">
        <v>62.81</v>
      </c>
    </row>
    <row r="86" spans="1:19" x14ac:dyDescent="0.3">
      <c r="A86" t="s">
        <v>277</v>
      </c>
      <c r="B86">
        <v>2014</v>
      </c>
      <c r="C86" t="s">
        <v>19</v>
      </c>
      <c r="D86" t="s">
        <v>278</v>
      </c>
      <c r="E86">
        <v>3</v>
      </c>
      <c r="F86" t="s">
        <v>151</v>
      </c>
      <c r="G86" t="s">
        <v>279</v>
      </c>
      <c r="H86" t="s">
        <v>84</v>
      </c>
      <c r="I86" t="s">
        <v>23</v>
      </c>
      <c r="J86" t="s">
        <v>232</v>
      </c>
      <c r="K86" t="s">
        <v>166</v>
      </c>
      <c r="L86" t="s">
        <v>87</v>
      </c>
      <c r="M86" t="s">
        <v>40</v>
      </c>
      <c r="N86" t="s">
        <v>51</v>
      </c>
      <c r="O86" t="s">
        <v>280</v>
      </c>
      <c r="P86">
        <v>230.38</v>
      </c>
      <c r="Q86">
        <v>3</v>
      </c>
      <c r="R86">
        <v>0.2</v>
      </c>
      <c r="S86">
        <v>-48.95</v>
      </c>
    </row>
    <row r="87" spans="1:19" x14ac:dyDescent="0.3">
      <c r="A87" t="s">
        <v>281</v>
      </c>
      <c r="B87">
        <v>2014</v>
      </c>
      <c r="C87" t="s">
        <v>96</v>
      </c>
      <c r="D87" t="s">
        <v>282</v>
      </c>
      <c r="E87">
        <v>2</v>
      </c>
      <c r="F87" t="s">
        <v>20</v>
      </c>
      <c r="G87" t="s">
        <v>186</v>
      </c>
      <c r="H87" t="s">
        <v>22</v>
      </c>
      <c r="I87" t="s">
        <v>23</v>
      </c>
      <c r="J87" t="s">
        <v>283</v>
      </c>
      <c r="K87" t="s">
        <v>284</v>
      </c>
      <c r="L87" t="s">
        <v>26</v>
      </c>
      <c r="M87" t="s">
        <v>27</v>
      </c>
      <c r="N87" t="s">
        <v>30</v>
      </c>
      <c r="O87" t="s">
        <v>285</v>
      </c>
      <c r="P87">
        <v>301.95999999999998</v>
      </c>
      <c r="Q87">
        <v>2</v>
      </c>
      <c r="R87">
        <v>0</v>
      </c>
      <c r="S87">
        <v>33.22</v>
      </c>
    </row>
    <row r="88" spans="1:19" x14ac:dyDescent="0.3">
      <c r="A88" t="s">
        <v>286</v>
      </c>
      <c r="B88">
        <v>2014</v>
      </c>
      <c r="C88" t="s">
        <v>43</v>
      </c>
      <c r="D88" s="1">
        <v>41709</v>
      </c>
      <c r="E88">
        <v>7</v>
      </c>
      <c r="F88" t="s">
        <v>45</v>
      </c>
      <c r="G88" t="s">
        <v>287</v>
      </c>
      <c r="H88" t="s">
        <v>22</v>
      </c>
      <c r="I88" t="s">
        <v>23</v>
      </c>
      <c r="J88" t="s">
        <v>288</v>
      </c>
      <c r="K88" t="s">
        <v>181</v>
      </c>
      <c r="L88" t="s">
        <v>87</v>
      </c>
      <c r="M88" t="s">
        <v>59</v>
      </c>
      <c r="N88" t="s">
        <v>133</v>
      </c>
      <c r="O88" t="s">
        <v>289</v>
      </c>
      <c r="P88">
        <v>19.989999999999998</v>
      </c>
      <c r="Q88">
        <v>1</v>
      </c>
      <c r="R88">
        <v>0</v>
      </c>
      <c r="S88">
        <v>6.8</v>
      </c>
    </row>
    <row r="89" spans="1:19" x14ac:dyDescent="0.3">
      <c r="A89" t="s">
        <v>286</v>
      </c>
      <c r="B89">
        <v>2014</v>
      </c>
      <c r="C89" t="s">
        <v>43</v>
      </c>
      <c r="D89" s="1">
        <v>41709</v>
      </c>
      <c r="E89">
        <v>7</v>
      </c>
      <c r="F89" t="s">
        <v>45</v>
      </c>
      <c r="G89" t="s">
        <v>287</v>
      </c>
      <c r="H89" t="s">
        <v>22</v>
      </c>
      <c r="I89" t="s">
        <v>23</v>
      </c>
      <c r="J89" t="s">
        <v>288</v>
      </c>
      <c r="K89" t="s">
        <v>181</v>
      </c>
      <c r="L89" t="s">
        <v>87</v>
      </c>
      <c r="M89" t="s">
        <v>40</v>
      </c>
      <c r="N89" t="s">
        <v>41</v>
      </c>
      <c r="O89" t="s">
        <v>290</v>
      </c>
      <c r="P89">
        <v>6.16</v>
      </c>
      <c r="Q89">
        <v>2</v>
      </c>
      <c r="R89">
        <v>0</v>
      </c>
      <c r="S89">
        <v>2.96</v>
      </c>
    </row>
    <row r="90" spans="1:19" x14ac:dyDescent="0.3">
      <c r="A90" s="1">
        <v>41429</v>
      </c>
      <c r="B90">
        <v>2013</v>
      </c>
      <c r="C90" t="s">
        <v>69</v>
      </c>
      <c r="D90" s="1">
        <v>41582</v>
      </c>
      <c r="E90">
        <v>5</v>
      </c>
      <c r="F90" t="s">
        <v>20</v>
      </c>
      <c r="G90" t="s">
        <v>291</v>
      </c>
      <c r="H90" t="s">
        <v>84</v>
      </c>
      <c r="I90" t="s">
        <v>23</v>
      </c>
      <c r="J90" t="s">
        <v>149</v>
      </c>
      <c r="K90" t="s">
        <v>86</v>
      </c>
      <c r="L90" t="s">
        <v>87</v>
      </c>
      <c r="M90" t="s">
        <v>40</v>
      </c>
      <c r="N90" t="s">
        <v>51</v>
      </c>
      <c r="O90" t="s">
        <v>292</v>
      </c>
      <c r="P90">
        <v>158.37</v>
      </c>
      <c r="Q90">
        <v>7</v>
      </c>
      <c r="R90">
        <v>0.2</v>
      </c>
      <c r="S90">
        <v>13.86</v>
      </c>
    </row>
    <row r="91" spans="1:19" x14ac:dyDescent="0.3">
      <c r="A91" t="s">
        <v>293</v>
      </c>
      <c r="B91">
        <v>2013</v>
      </c>
      <c r="C91" t="s">
        <v>124</v>
      </c>
      <c r="D91" t="s">
        <v>294</v>
      </c>
      <c r="E91">
        <v>5</v>
      </c>
      <c r="F91" t="s">
        <v>45</v>
      </c>
      <c r="G91" t="s">
        <v>295</v>
      </c>
      <c r="H91" t="s">
        <v>36</v>
      </c>
      <c r="I91" t="s">
        <v>23</v>
      </c>
      <c r="J91" t="s">
        <v>37</v>
      </c>
      <c r="K91" t="s">
        <v>38</v>
      </c>
      <c r="L91" t="s">
        <v>39</v>
      </c>
      <c r="M91" t="s">
        <v>40</v>
      </c>
      <c r="N91" t="s">
        <v>57</v>
      </c>
      <c r="O91" t="s">
        <v>296</v>
      </c>
      <c r="P91">
        <v>20.100000000000001</v>
      </c>
      <c r="Q91">
        <v>3</v>
      </c>
      <c r="R91">
        <v>0</v>
      </c>
      <c r="S91">
        <v>6.63</v>
      </c>
    </row>
    <row r="92" spans="1:19" x14ac:dyDescent="0.3">
      <c r="A92" t="s">
        <v>293</v>
      </c>
      <c r="B92">
        <v>2013</v>
      </c>
      <c r="C92" t="s">
        <v>124</v>
      </c>
      <c r="D92" t="s">
        <v>294</v>
      </c>
      <c r="E92">
        <v>5</v>
      </c>
      <c r="F92" t="s">
        <v>45</v>
      </c>
      <c r="G92" t="s">
        <v>295</v>
      </c>
      <c r="H92" t="s">
        <v>36</v>
      </c>
      <c r="I92" t="s">
        <v>23</v>
      </c>
      <c r="J92" t="s">
        <v>37</v>
      </c>
      <c r="K92" t="s">
        <v>38</v>
      </c>
      <c r="L92" t="s">
        <v>39</v>
      </c>
      <c r="M92" t="s">
        <v>59</v>
      </c>
      <c r="N92" t="s">
        <v>60</v>
      </c>
      <c r="O92" t="s">
        <v>167</v>
      </c>
      <c r="P92">
        <v>73.58</v>
      </c>
      <c r="Q92">
        <v>2</v>
      </c>
      <c r="R92">
        <v>0.2</v>
      </c>
      <c r="S92">
        <v>8.2799999999999994</v>
      </c>
    </row>
    <row r="93" spans="1:19" x14ac:dyDescent="0.3">
      <c r="A93" t="s">
        <v>293</v>
      </c>
      <c r="B93">
        <v>2013</v>
      </c>
      <c r="C93" t="s">
        <v>124</v>
      </c>
      <c r="D93" t="s">
        <v>294</v>
      </c>
      <c r="E93">
        <v>5</v>
      </c>
      <c r="F93" t="s">
        <v>45</v>
      </c>
      <c r="G93" t="s">
        <v>295</v>
      </c>
      <c r="H93" t="s">
        <v>36</v>
      </c>
      <c r="I93" t="s">
        <v>23</v>
      </c>
      <c r="J93" t="s">
        <v>37</v>
      </c>
      <c r="K93" t="s">
        <v>38</v>
      </c>
      <c r="L93" t="s">
        <v>39</v>
      </c>
      <c r="M93" t="s">
        <v>40</v>
      </c>
      <c r="N93" t="s">
        <v>74</v>
      </c>
      <c r="O93" t="s">
        <v>297</v>
      </c>
      <c r="P93">
        <v>6.48</v>
      </c>
      <c r="Q93">
        <v>1</v>
      </c>
      <c r="R93">
        <v>0</v>
      </c>
      <c r="S93">
        <v>3.11</v>
      </c>
    </row>
    <row r="94" spans="1:19" x14ac:dyDescent="0.3">
      <c r="A94" t="s">
        <v>298</v>
      </c>
      <c r="B94">
        <v>2012</v>
      </c>
      <c r="C94" t="s">
        <v>129</v>
      </c>
      <c r="D94" s="1">
        <v>41031</v>
      </c>
      <c r="E94">
        <v>5</v>
      </c>
      <c r="F94" t="s">
        <v>20</v>
      </c>
      <c r="G94" t="s">
        <v>299</v>
      </c>
      <c r="H94" t="s">
        <v>22</v>
      </c>
      <c r="I94" t="s">
        <v>23</v>
      </c>
      <c r="J94" t="s">
        <v>300</v>
      </c>
      <c r="K94" t="s">
        <v>181</v>
      </c>
      <c r="L94" t="s">
        <v>87</v>
      </c>
      <c r="M94" t="s">
        <v>40</v>
      </c>
      <c r="N94" t="s">
        <v>74</v>
      </c>
      <c r="O94" t="s">
        <v>301</v>
      </c>
      <c r="P94">
        <v>12.96</v>
      </c>
      <c r="Q94">
        <v>2</v>
      </c>
      <c r="R94">
        <v>0</v>
      </c>
      <c r="S94">
        <v>6.22</v>
      </c>
    </row>
    <row r="95" spans="1:19" x14ac:dyDescent="0.3">
      <c r="A95" t="s">
        <v>298</v>
      </c>
      <c r="B95">
        <v>2012</v>
      </c>
      <c r="C95" t="s">
        <v>129</v>
      </c>
      <c r="D95" s="1">
        <v>41031</v>
      </c>
      <c r="E95">
        <v>5</v>
      </c>
      <c r="F95" t="s">
        <v>20</v>
      </c>
      <c r="G95" t="s">
        <v>299</v>
      </c>
      <c r="H95" t="s">
        <v>22</v>
      </c>
      <c r="I95" t="s">
        <v>23</v>
      </c>
      <c r="J95" t="s">
        <v>300</v>
      </c>
      <c r="K95" t="s">
        <v>181</v>
      </c>
      <c r="L95" t="s">
        <v>87</v>
      </c>
      <c r="M95" t="s">
        <v>27</v>
      </c>
      <c r="N95" t="s">
        <v>55</v>
      </c>
      <c r="O95" t="s">
        <v>302</v>
      </c>
      <c r="P95">
        <v>53.34</v>
      </c>
      <c r="Q95">
        <v>3</v>
      </c>
      <c r="R95">
        <v>0</v>
      </c>
      <c r="S95">
        <v>16.54</v>
      </c>
    </row>
    <row r="96" spans="1:19" x14ac:dyDescent="0.3">
      <c r="A96" t="s">
        <v>298</v>
      </c>
      <c r="B96">
        <v>2012</v>
      </c>
      <c r="C96" t="s">
        <v>129</v>
      </c>
      <c r="D96" s="1">
        <v>41031</v>
      </c>
      <c r="E96">
        <v>5</v>
      </c>
      <c r="F96" t="s">
        <v>20</v>
      </c>
      <c r="G96" t="s">
        <v>299</v>
      </c>
      <c r="H96" t="s">
        <v>22</v>
      </c>
      <c r="I96" t="s">
        <v>23</v>
      </c>
      <c r="J96" t="s">
        <v>300</v>
      </c>
      <c r="K96" t="s">
        <v>181</v>
      </c>
      <c r="L96" t="s">
        <v>87</v>
      </c>
      <c r="M96" t="s">
        <v>40</v>
      </c>
      <c r="N96" t="s">
        <v>62</v>
      </c>
      <c r="O96" t="s">
        <v>303</v>
      </c>
      <c r="P96">
        <v>32.96</v>
      </c>
      <c r="Q96">
        <v>2</v>
      </c>
      <c r="R96">
        <v>0</v>
      </c>
      <c r="S96">
        <v>16.149999999999999</v>
      </c>
    </row>
    <row r="97" spans="1:19" x14ac:dyDescent="0.3">
      <c r="A97" s="1">
        <v>41831</v>
      </c>
      <c r="B97">
        <v>2014</v>
      </c>
      <c r="C97" t="s">
        <v>19</v>
      </c>
      <c r="D97" t="s">
        <v>304</v>
      </c>
      <c r="E97">
        <v>6</v>
      </c>
      <c r="F97" t="s">
        <v>45</v>
      </c>
      <c r="G97" t="s">
        <v>305</v>
      </c>
      <c r="H97" t="s">
        <v>84</v>
      </c>
      <c r="I97" t="s">
        <v>23</v>
      </c>
      <c r="J97" t="s">
        <v>306</v>
      </c>
      <c r="K97" t="s">
        <v>307</v>
      </c>
      <c r="L97" t="s">
        <v>39</v>
      </c>
      <c r="M97" t="s">
        <v>40</v>
      </c>
      <c r="N97" t="s">
        <v>62</v>
      </c>
      <c r="O97" t="s">
        <v>308</v>
      </c>
      <c r="P97">
        <v>5.68</v>
      </c>
      <c r="Q97">
        <v>1</v>
      </c>
      <c r="R97">
        <v>0.7</v>
      </c>
      <c r="S97">
        <v>-3.79</v>
      </c>
    </row>
    <row r="98" spans="1:19" x14ac:dyDescent="0.3">
      <c r="A98" s="1">
        <v>41923</v>
      </c>
      <c r="B98">
        <v>2014</v>
      </c>
      <c r="C98" t="s">
        <v>19</v>
      </c>
      <c r="D98" s="1">
        <v>41984</v>
      </c>
      <c r="E98">
        <v>2</v>
      </c>
      <c r="F98" t="s">
        <v>20</v>
      </c>
      <c r="G98" t="s">
        <v>309</v>
      </c>
      <c r="H98" t="s">
        <v>84</v>
      </c>
      <c r="I98" t="s">
        <v>23</v>
      </c>
      <c r="J98" t="s">
        <v>208</v>
      </c>
      <c r="K98" t="s">
        <v>209</v>
      </c>
      <c r="L98" t="s">
        <v>121</v>
      </c>
      <c r="M98" t="s">
        <v>27</v>
      </c>
      <c r="N98" t="s">
        <v>55</v>
      </c>
      <c r="O98" t="s">
        <v>310</v>
      </c>
      <c r="P98">
        <v>96.53</v>
      </c>
      <c r="Q98">
        <v>7</v>
      </c>
      <c r="R98">
        <v>0</v>
      </c>
      <c r="S98">
        <v>40.54</v>
      </c>
    </row>
    <row r="99" spans="1:19" x14ac:dyDescent="0.3">
      <c r="A99" t="s">
        <v>311</v>
      </c>
      <c r="B99">
        <v>2014</v>
      </c>
      <c r="C99" t="s">
        <v>33</v>
      </c>
      <c r="D99" t="s">
        <v>312</v>
      </c>
      <c r="E99">
        <v>3</v>
      </c>
      <c r="F99" t="s">
        <v>151</v>
      </c>
      <c r="G99" t="s">
        <v>313</v>
      </c>
      <c r="H99" t="s">
        <v>22</v>
      </c>
      <c r="I99" t="s">
        <v>23</v>
      </c>
      <c r="J99" t="s">
        <v>105</v>
      </c>
      <c r="K99" t="s">
        <v>38</v>
      </c>
      <c r="L99" t="s">
        <v>39</v>
      </c>
      <c r="M99" t="s">
        <v>40</v>
      </c>
      <c r="N99" t="s">
        <v>62</v>
      </c>
      <c r="O99" t="s">
        <v>314</v>
      </c>
      <c r="P99">
        <v>51.31</v>
      </c>
      <c r="Q99">
        <v>3</v>
      </c>
      <c r="R99">
        <v>0.2</v>
      </c>
      <c r="S99">
        <v>17.96</v>
      </c>
    </row>
    <row r="100" spans="1:19" x14ac:dyDescent="0.3">
      <c r="A100" s="1">
        <v>41464</v>
      </c>
      <c r="B100">
        <v>2013</v>
      </c>
      <c r="C100" t="s">
        <v>124</v>
      </c>
      <c r="D100" s="1">
        <v>41617</v>
      </c>
      <c r="E100">
        <v>5</v>
      </c>
      <c r="F100" t="s">
        <v>45</v>
      </c>
      <c r="G100" t="s">
        <v>315</v>
      </c>
      <c r="H100" t="s">
        <v>36</v>
      </c>
      <c r="I100" t="s">
        <v>23</v>
      </c>
      <c r="J100" t="s">
        <v>316</v>
      </c>
      <c r="K100" t="s">
        <v>181</v>
      </c>
      <c r="L100" t="s">
        <v>87</v>
      </c>
      <c r="M100" t="s">
        <v>40</v>
      </c>
      <c r="N100" t="s">
        <v>64</v>
      </c>
      <c r="O100" t="s">
        <v>317</v>
      </c>
      <c r="P100">
        <v>77.88</v>
      </c>
      <c r="Q100">
        <v>6</v>
      </c>
      <c r="R100">
        <v>0</v>
      </c>
      <c r="S100">
        <v>22.59</v>
      </c>
    </row>
    <row r="101" spans="1:19" x14ac:dyDescent="0.3">
      <c r="A101" t="s">
        <v>318</v>
      </c>
      <c r="B101">
        <v>2013</v>
      </c>
      <c r="C101" t="s">
        <v>103</v>
      </c>
      <c r="D101" s="1">
        <v>41342</v>
      </c>
      <c r="E101">
        <v>4</v>
      </c>
      <c r="F101" t="s">
        <v>45</v>
      </c>
      <c r="G101" t="s">
        <v>319</v>
      </c>
      <c r="H101" t="s">
        <v>84</v>
      </c>
      <c r="I101" t="s">
        <v>23</v>
      </c>
      <c r="J101" t="s">
        <v>232</v>
      </c>
      <c r="K101" t="s">
        <v>166</v>
      </c>
      <c r="L101" t="s">
        <v>87</v>
      </c>
      <c r="M101" t="s">
        <v>40</v>
      </c>
      <c r="N101" t="s">
        <v>74</v>
      </c>
      <c r="O101" t="s">
        <v>320</v>
      </c>
      <c r="P101">
        <v>64.62</v>
      </c>
      <c r="Q101">
        <v>7</v>
      </c>
      <c r="R101">
        <v>0.2</v>
      </c>
      <c r="S101">
        <v>22.62</v>
      </c>
    </row>
    <row r="102" spans="1:19" x14ac:dyDescent="0.3">
      <c r="A102" t="s">
        <v>318</v>
      </c>
      <c r="B102">
        <v>2013</v>
      </c>
      <c r="C102" t="s">
        <v>103</v>
      </c>
      <c r="D102" s="1">
        <v>41342</v>
      </c>
      <c r="E102">
        <v>4</v>
      </c>
      <c r="F102" t="s">
        <v>45</v>
      </c>
      <c r="G102" t="s">
        <v>319</v>
      </c>
      <c r="H102" t="s">
        <v>84</v>
      </c>
      <c r="I102" t="s">
        <v>23</v>
      </c>
      <c r="J102" t="s">
        <v>232</v>
      </c>
      <c r="K102" t="s">
        <v>166</v>
      </c>
      <c r="L102" t="s">
        <v>87</v>
      </c>
      <c r="M102" t="s">
        <v>59</v>
      </c>
      <c r="N102" t="s">
        <v>133</v>
      </c>
      <c r="O102" t="s">
        <v>321</v>
      </c>
      <c r="P102">
        <v>95.98</v>
      </c>
      <c r="Q102">
        <v>3</v>
      </c>
      <c r="R102">
        <v>0.2</v>
      </c>
      <c r="S102">
        <v>-10.8</v>
      </c>
    </row>
    <row r="103" spans="1:19" x14ac:dyDescent="0.3">
      <c r="A103" t="s">
        <v>318</v>
      </c>
      <c r="B103">
        <v>2013</v>
      </c>
      <c r="C103" t="s">
        <v>103</v>
      </c>
      <c r="D103" s="1">
        <v>41342</v>
      </c>
      <c r="E103">
        <v>4</v>
      </c>
      <c r="F103" t="s">
        <v>45</v>
      </c>
      <c r="G103" t="s">
        <v>319</v>
      </c>
      <c r="H103" t="s">
        <v>84</v>
      </c>
      <c r="I103" t="s">
        <v>23</v>
      </c>
      <c r="J103" t="s">
        <v>232</v>
      </c>
      <c r="K103" t="s">
        <v>166</v>
      </c>
      <c r="L103" t="s">
        <v>87</v>
      </c>
      <c r="M103" t="s">
        <v>40</v>
      </c>
      <c r="N103" t="s">
        <v>62</v>
      </c>
      <c r="O103" t="s">
        <v>322</v>
      </c>
      <c r="P103">
        <v>1.79</v>
      </c>
      <c r="Q103">
        <v>3</v>
      </c>
      <c r="R103">
        <v>0.8</v>
      </c>
      <c r="S103">
        <v>-3.04</v>
      </c>
    </row>
    <row r="104" spans="1:19" x14ac:dyDescent="0.3">
      <c r="A104" s="1">
        <v>41317</v>
      </c>
      <c r="B104">
        <v>2013</v>
      </c>
      <c r="C104" t="s">
        <v>76</v>
      </c>
      <c r="D104" s="1">
        <v>41406</v>
      </c>
      <c r="E104">
        <v>3</v>
      </c>
      <c r="F104" t="s">
        <v>20</v>
      </c>
      <c r="G104" t="s">
        <v>323</v>
      </c>
      <c r="H104" t="s">
        <v>22</v>
      </c>
      <c r="I104" t="s">
        <v>23</v>
      </c>
      <c r="J104" t="s">
        <v>288</v>
      </c>
      <c r="K104" t="s">
        <v>181</v>
      </c>
      <c r="L104" t="s">
        <v>87</v>
      </c>
      <c r="M104" t="s">
        <v>40</v>
      </c>
      <c r="N104" t="s">
        <v>74</v>
      </c>
      <c r="O104" t="s">
        <v>324</v>
      </c>
      <c r="P104">
        <v>23.92</v>
      </c>
      <c r="Q104">
        <v>4</v>
      </c>
      <c r="R104">
        <v>0</v>
      </c>
      <c r="S104">
        <v>11.72</v>
      </c>
    </row>
    <row r="105" spans="1:19" x14ac:dyDescent="0.3">
      <c r="A105" t="s">
        <v>325</v>
      </c>
      <c r="B105">
        <v>2012</v>
      </c>
      <c r="C105" t="s">
        <v>19</v>
      </c>
      <c r="D105" t="s">
        <v>326</v>
      </c>
      <c r="E105">
        <v>4</v>
      </c>
      <c r="F105" t="s">
        <v>45</v>
      </c>
      <c r="G105" t="s">
        <v>327</v>
      </c>
      <c r="H105" t="s">
        <v>22</v>
      </c>
      <c r="I105" t="s">
        <v>23</v>
      </c>
      <c r="J105" t="s">
        <v>328</v>
      </c>
      <c r="K105" t="s">
        <v>329</v>
      </c>
      <c r="L105" t="s">
        <v>39</v>
      </c>
      <c r="M105" t="s">
        <v>59</v>
      </c>
      <c r="N105" t="s">
        <v>133</v>
      </c>
      <c r="O105" t="s">
        <v>330</v>
      </c>
      <c r="P105">
        <v>238.9</v>
      </c>
      <c r="Q105">
        <v>6</v>
      </c>
      <c r="R105">
        <v>0.2</v>
      </c>
      <c r="S105">
        <v>-26.88</v>
      </c>
    </row>
    <row r="106" spans="1:19" x14ac:dyDescent="0.3">
      <c r="A106" t="s">
        <v>325</v>
      </c>
      <c r="B106">
        <v>2012</v>
      </c>
      <c r="C106" t="s">
        <v>19</v>
      </c>
      <c r="D106" t="s">
        <v>326</v>
      </c>
      <c r="E106">
        <v>4</v>
      </c>
      <c r="F106" t="s">
        <v>45</v>
      </c>
      <c r="G106" t="s">
        <v>327</v>
      </c>
      <c r="H106" t="s">
        <v>22</v>
      </c>
      <c r="I106" t="s">
        <v>23</v>
      </c>
      <c r="J106" t="s">
        <v>328</v>
      </c>
      <c r="K106" t="s">
        <v>329</v>
      </c>
      <c r="L106" t="s">
        <v>39</v>
      </c>
      <c r="M106" t="s">
        <v>27</v>
      </c>
      <c r="N106" t="s">
        <v>55</v>
      </c>
      <c r="O106" t="s">
        <v>331</v>
      </c>
      <c r="P106">
        <v>102.36</v>
      </c>
      <c r="Q106">
        <v>3</v>
      </c>
      <c r="R106">
        <v>0.2</v>
      </c>
      <c r="S106">
        <v>-3.84</v>
      </c>
    </row>
    <row r="107" spans="1:19" x14ac:dyDescent="0.3">
      <c r="A107" t="s">
        <v>325</v>
      </c>
      <c r="B107">
        <v>2012</v>
      </c>
      <c r="C107" t="s">
        <v>19</v>
      </c>
      <c r="D107" t="s">
        <v>326</v>
      </c>
      <c r="E107">
        <v>4</v>
      </c>
      <c r="F107" t="s">
        <v>45</v>
      </c>
      <c r="G107" t="s">
        <v>327</v>
      </c>
      <c r="H107" t="s">
        <v>22</v>
      </c>
      <c r="I107" t="s">
        <v>23</v>
      </c>
      <c r="J107" t="s">
        <v>328</v>
      </c>
      <c r="K107" t="s">
        <v>329</v>
      </c>
      <c r="L107" t="s">
        <v>39</v>
      </c>
      <c r="M107" t="s">
        <v>40</v>
      </c>
      <c r="N107" t="s">
        <v>62</v>
      </c>
      <c r="O107" t="s">
        <v>332</v>
      </c>
      <c r="P107">
        <v>36.880000000000003</v>
      </c>
      <c r="Q107">
        <v>3</v>
      </c>
      <c r="R107">
        <v>0.7</v>
      </c>
      <c r="S107">
        <v>-25.82</v>
      </c>
    </row>
    <row r="108" spans="1:19" x14ac:dyDescent="0.3">
      <c r="A108" t="s">
        <v>333</v>
      </c>
      <c r="B108">
        <v>2014</v>
      </c>
      <c r="C108" t="s">
        <v>19</v>
      </c>
      <c r="D108" t="s">
        <v>334</v>
      </c>
      <c r="E108">
        <v>5</v>
      </c>
      <c r="F108" t="s">
        <v>45</v>
      </c>
      <c r="G108" t="s">
        <v>335</v>
      </c>
      <c r="H108" t="s">
        <v>22</v>
      </c>
      <c r="I108" t="s">
        <v>23</v>
      </c>
      <c r="J108" t="s">
        <v>336</v>
      </c>
      <c r="K108" t="s">
        <v>73</v>
      </c>
      <c r="L108" t="s">
        <v>26</v>
      </c>
      <c r="M108" t="s">
        <v>59</v>
      </c>
      <c r="N108" t="s">
        <v>133</v>
      </c>
      <c r="O108" t="s">
        <v>337</v>
      </c>
      <c r="P108">
        <v>74.11</v>
      </c>
      <c r="Q108">
        <v>8</v>
      </c>
      <c r="R108">
        <v>0.2</v>
      </c>
      <c r="S108">
        <v>17.600000000000001</v>
      </c>
    </row>
    <row r="109" spans="1:19" x14ac:dyDescent="0.3">
      <c r="A109" t="s">
        <v>333</v>
      </c>
      <c r="B109">
        <v>2014</v>
      </c>
      <c r="C109" t="s">
        <v>19</v>
      </c>
      <c r="D109" t="s">
        <v>334</v>
      </c>
      <c r="E109">
        <v>5</v>
      </c>
      <c r="F109" t="s">
        <v>45</v>
      </c>
      <c r="G109" t="s">
        <v>335</v>
      </c>
      <c r="H109" t="s">
        <v>22</v>
      </c>
      <c r="I109" t="s">
        <v>23</v>
      </c>
      <c r="J109" t="s">
        <v>336</v>
      </c>
      <c r="K109" t="s">
        <v>73</v>
      </c>
      <c r="L109" t="s">
        <v>26</v>
      </c>
      <c r="M109" t="s">
        <v>59</v>
      </c>
      <c r="N109" t="s">
        <v>60</v>
      </c>
      <c r="O109" t="s">
        <v>338</v>
      </c>
      <c r="P109">
        <v>27.99</v>
      </c>
      <c r="Q109">
        <v>1</v>
      </c>
      <c r="R109">
        <v>0.2</v>
      </c>
      <c r="S109">
        <v>2.1</v>
      </c>
    </row>
    <row r="110" spans="1:19" x14ac:dyDescent="0.3">
      <c r="A110" t="s">
        <v>333</v>
      </c>
      <c r="B110">
        <v>2014</v>
      </c>
      <c r="C110" t="s">
        <v>19</v>
      </c>
      <c r="D110" t="s">
        <v>334</v>
      </c>
      <c r="E110">
        <v>5</v>
      </c>
      <c r="F110" t="s">
        <v>45</v>
      </c>
      <c r="G110" t="s">
        <v>335</v>
      </c>
      <c r="H110" t="s">
        <v>22</v>
      </c>
      <c r="I110" t="s">
        <v>23</v>
      </c>
      <c r="J110" t="s">
        <v>336</v>
      </c>
      <c r="K110" t="s">
        <v>73</v>
      </c>
      <c r="L110" t="s">
        <v>26</v>
      </c>
      <c r="M110" t="s">
        <v>40</v>
      </c>
      <c r="N110" t="s">
        <v>57</v>
      </c>
      <c r="O110" t="s">
        <v>339</v>
      </c>
      <c r="P110">
        <v>3.3</v>
      </c>
      <c r="Q110">
        <v>1</v>
      </c>
      <c r="R110">
        <v>0.2</v>
      </c>
      <c r="S110">
        <v>1.07</v>
      </c>
    </row>
    <row r="111" spans="1:19" x14ac:dyDescent="0.3">
      <c r="A111" t="s">
        <v>340</v>
      </c>
      <c r="B111">
        <v>2012</v>
      </c>
      <c r="C111" t="s">
        <v>43</v>
      </c>
      <c r="D111" t="s">
        <v>341</v>
      </c>
      <c r="E111">
        <v>5</v>
      </c>
      <c r="F111" t="s">
        <v>45</v>
      </c>
      <c r="G111" t="s">
        <v>342</v>
      </c>
      <c r="H111" t="s">
        <v>84</v>
      </c>
      <c r="I111" t="s">
        <v>23</v>
      </c>
      <c r="J111" t="s">
        <v>343</v>
      </c>
      <c r="K111" t="s">
        <v>166</v>
      </c>
      <c r="L111" t="s">
        <v>87</v>
      </c>
      <c r="M111" t="s">
        <v>59</v>
      </c>
      <c r="N111" t="s">
        <v>133</v>
      </c>
      <c r="O111" t="s">
        <v>344</v>
      </c>
      <c r="P111">
        <v>339.96</v>
      </c>
      <c r="Q111">
        <v>5</v>
      </c>
      <c r="R111">
        <v>0.2</v>
      </c>
      <c r="S111">
        <v>67.989999999999995</v>
      </c>
    </row>
    <row r="112" spans="1:19" x14ac:dyDescent="0.3">
      <c r="A112" t="s">
        <v>345</v>
      </c>
      <c r="B112">
        <v>2014</v>
      </c>
      <c r="C112" t="s">
        <v>76</v>
      </c>
      <c r="D112" t="s">
        <v>346</v>
      </c>
      <c r="E112">
        <v>5</v>
      </c>
      <c r="F112" t="s">
        <v>45</v>
      </c>
      <c r="G112" t="s">
        <v>347</v>
      </c>
      <c r="H112" t="s">
        <v>36</v>
      </c>
      <c r="I112" t="s">
        <v>23</v>
      </c>
      <c r="J112" t="s">
        <v>208</v>
      </c>
      <c r="K112" t="s">
        <v>209</v>
      </c>
      <c r="L112" t="s">
        <v>121</v>
      </c>
      <c r="M112" t="s">
        <v>27</v>
      </c>
      <c r="N112" t="s">
        <v>55</v>
      </c>
      <c r="O112" t="s">
        <v>348</v>
      </c>
      <c r="P112">
        <v>41.96</v>
      </c>
      <c r="Q112">
        <v>2</v>
      </c>
      <c r="R112">
        <v>0</v>
      </c>
      <c r="S112">
        <v>10.91</v>
      </c>
    </row>
    <row r="113" spans="1:19" x14ac:dyDescent="0.3">
      <c r="A113" s="1">
        <v>41375</v>
      </c>
      <c r="B113">
        <v>2013</v>
      </c>
      <c r="C113" t="s">
        <v>19</v>
      </c>
      <c r="D113" s="1">
        <v>41589</v>
      </c>
      <c r="E113">
        <v>7</v>
      </c>
      <c r="F113" t="s">
        <v>45</v>
      </c>
      <c r="G113" t="s">
        <v>349</v>
      </c>
      <c r="H113" t="s">
        <v>22</v>
      </c>
      <c r="I113" t="s">
        <v>23</v>
      </c>
      <c r="J113" t="s">
        <v>350</v>
      </c>
      <c r="K113" t="s">
        <v>351</v>
      </c>
      <c r="L113" t="s">
        <v>87</v>
      </c>
      <c r="M113" t="s">
        <v>40</v>
      </c>
      <c r="N113" t="s">
        <v>57</v>
      </c>
      <c r="O113" t="s">
        <v>352</v>
      </c>
      <c r="P113">
        <v>75.959999999999994</v>
      </c>
      <c r="Q113">
        <v>2</v>
      </c>
      <c r="R113">
        <v>0</v>
      </c>
      <c r="S113">
        <v>22.79</v>
      </c>
    </row>
    <row r="114" spans="1:19" x14ac:dyDescent="0.3">
      <c r="A114" s="1">
        <v>41375</v>
      </c>
      <c r="B114">
        <v>2013</v>
      </c>
      <c r="C114" t="s">
        <v>19</v>
      </c>
      <c r="D114" s="1">
        <v>41589</v>
      </c>
      <c r="E114">
        <v>7</v>
      </c>
      <c r="F114" t="s">
        <v>45</v>
      </c>
      <c r="G114" t="s">
        <v>349</v>
      </c>
      <c r="H114" t="s">
        <v>22</v>
      </c>
      <c r="I114" t="s">
        <v>23</v>
      </c>
      <c r="J114" t="s">
        <v>350</v>
      </c>
      <c r="K114" t="s">
        <v>351</v>
      </c>
      <c r="L114" t="s">
        <v>87</v>
      </c>
      <c r="M114" t="s">
        <v>40</v>
      </c>
      <c r="N114" t="s">
        <v>62</v>
      </c>
      <c r="O114" t="s">
        <v>353</v>
      </c>
      <c r="P114">
        <v>27.24</v>
      </c>
      <c r="Q114">
        <v>6</v>
      </c>
      <c r="R114">
        <v>0</v>
      </c>
      <c r="S114">
        <v>13.35</v>
      </c>
    </row>
    <row r="115" spans="1:19" x14ac:dyDescent="0.3">
      <c r="A115" t="s">
        <v>354</v>
      </c>
      <c r="B115">
        <v>2011</v>
      </c>
      <c r="C115" t="s">
        <v>103</v>
      </c>
      <c r="D115" t="s">
        <v>102</v>
      </c>
      <c r="E115">
        <v>2</v>
      </c>
      <c r="F115" t="s">
        <v>20</v>
      </c>
      <c r="G115" t="s">
        <v>355</v>
      </c>
      <c r="H115" t="s">
        <v>22</v>
      </c>
      <c r="I115" t="s">
        <v>23</v>
      </c>
      <c r="J115" t="s">
        <v>356</v>
      </c>
      <c r="K115" t="s">
        <v>357</v>
      </c>
      <c r="L115" t="s">
        <v>121</v>
      </c>
      <c r="M115" t="s">
        <v>40</v>
      </c>
      <c r="N115" t="s">
        <v>210</v>
      </c>
      <c r="O115" t="s">
        <v>358</v>
      </c>
      <c r="P115">
        <v>40.1</v>
      </c>
      <c r="Q115">
        <v>14</v>
      </c>
      <c r="R115">
        <v>0.2</v>
      </c>
      <c r="S115">
        <v>14.53</v>
      </c>
    </row>
    <row r="116" spans="1:19" x14ac:dyDescent="0.3">
      <c r="A116" t="s">
        <v>354</v>
      </c>
      <c r="B116">
        <v>2011</v>
      </c>
      <c r="C116" t="s">
        <v>103</v>
      </c>
      <c r="D116" t="s">
        <v>102</v>
      </c>
      <c r="E116">
        <v>2</v>
      </c>
      <c r="F116" t="s">
        <v>20</v>
      </c>
      <c r="G116" t="s">
        <v>355</v>
      </c>
      <c r="H116" t="s">
        <v>22</v>
      </c>
      <c r="I116" t="s">
        <v>23</v>
      </c>
      <c r="J116" t="s">
        <v>356</v>
      </c>
      <c r="K116" t="s">
        <v>357</v>
      </c>
      <c r="L116" t="s">
        <v>121</v>
      </c>
      <c r="M116" t="s">
        <v>40</v>
      </c>
      <c r="N116" t="s">
        <v>141</v>
      </c>
      <c r="O116" t="s">
        <v>359</v>
      </c>
      <c r="P116">
        <v>4.72</v>
      </c>
      <c r="Q116">
        <v>2</v>
      </c>
      <c r="R116">
        <v>0.2</v>
      </c>
      <c r="S116">
        <v>1.65</v>
      </c>
    </row>
    <row r="117" spans="1:19" x14ac:dyDescent="0.3">
      <c r="A117" t="s">
        <v>354</v>
      </c>
      <c r="B117">
        <v>2011</v>
      </c>
      <c r="C117" t="s">
        <v>103</v>
      </c>
      <c r="D117" t="s">
        <v>102</v>
      </c>
      <c r="E117">
        <v>2</v>
      </c>
      <c r="F117" t="s">
        <v>20</v>
      </c>
      <c r="G117" t="s">
        <v>355</v>
      </c>
      <c r="H117" t="s">
        <v>22</v>
      </c>
      <c r="I117" t="s">
        <v>23</v>
      </c>
      <c r="J117" t="s">
        <v>356</v>
      </c>
      <c r="K117" t="s">
        <v>357</v>
      </c>
      <c r="L117" t="s">
        <v>121</v>
      </c>
      <c r="M117" t="s">
        <v>40</v>
      </c>
      <c r="N117" t="s">
        <v>74</v>
      </c>
      <c r="O117" t="s">
        <v>360</v>
      </c>
      <c r="P117">
        <v>23.98</v>
      </c>
      <c r="Q117">
        <v>3</v>
      </c>
      <c r="R117">
        <v>0.2</v>
      </c>
      <c r="S117">
        <v>7.49</v>
      </c>
    </row>
    <row r="118" spans="1:19" x14ac:dyDescent="0.3">
      <c r="A118" t="s">
        <v>354</v>
      </c>
      <c r="B118">
        <v>2011</v>
      </c>
      <c r="C118" t="s">
        <v>103</v>
      </c>
      <c r="D118" t="s">
        <v>102</v>
      </c>
      <c r="E118">
        <v>2</v>
      </c>
      <c r="F118" t="s">
        <v>20</v>
      </c>
      <c r="G118" t="s">
        <v>355</v>
      </c>
      <c r="H118" t="s">
        <v>22</v>
      </c>
      <c r="I118" t="s">
        <v>23</v>
      </c>
      <c r="J118" t="s">
        <v>356</v>
      </c>
      <c r="K118" t="s">
        <v>357</v>
      </c>
      <c r="L118" t="s">
        <v>121</v>
      </c>
      <c r="M118" t="s">
        <v>40</v>
      </c>
      <c r="N118" t="s">
        <v>141</v>
      </c>
      <c r="O118" t="s">
        <v>361</v>
      </c>
      <c r="P118">
        <v>130.46</v>
      </c>
      <c r="Q118">
        <v>6</v>
      </c>
      <c r="R118">
        <v>0.2</v>
      </c>
      <c r="S118">
        <v>44.03</v>
      </c>
    </row>
    <row r="119" spans="1:19" x14ac:dyDescent="0.3">
      <c r="A119" s="1">
        <v>40942</v>
      </c>
      <c r="B119">
        <v>2012</v>
      </c>
      <c r="C119" t="s">
        <v>177</v>
      </c>
      <c r="D119" s="1">
        <v>41063</v>
      </c>
      <c r="E119">
        <v>4</v>
      </c>
      <c r="F119" t="s">
        <v>45</v>
      </c>
      <c r="G119" t="s">
        <v>362</v>
      </c>
      <c r="H119" t="s">
        <v>22</v>
      </c>
      <c r="I119" t="s">
        <v>23</v>
      </c>
      <c r="J119" t="s">
        <v>78</v>
      </c>
      <c r="K119" t="s">
        <v>79</v>
      </c>
      <c r="L119" t="s">
        <v>39</v>
      </c>
      <c r="M119" t="s">
        <v>27</v>
      </c>
      <c r="N119" t="s">
        <v>49</v>
      </c>
      <c r="O119" t="s">
        <v>363</v>
      </c>
      <c r="P119">
        <v>787.53</v>
      </c>
      <c r="Q119">
        <v>3</v>
      </c>
      <c r="R119">
        <v>0</v>
      </c>
      <c r="S119">
        <v>165.38</v>
      </c>
    </row>
    <row r="120" spans="1:19" x14ac:dyDescent="0.3">
      <c r="A120" s="1">
        <v>41033</v>
      </c>
      <c r="B120">
        <v>2012</v>
      </c>
      <c r="C120" t="s">
        <v>69</v>
      </c>
      <c r="D120" s="1">
        <v>41186</v>
      </c>
      <c r="E120">
        <v>5</v>
      </c>
      <c r="F120" t="s">
        <v>45</v>
      </c>
      <c r="G120" t="s">
        <v>364</v>
      </c>
      <c r="H120" t="s">
        <v>36</v>
      </c>
      <c r="I120" t="s">
        <v>23</v>
      </c>
      <c r="J120" t="s">
        <v>365</v>
      </c>
      <c r="K120" t="s">
        <v>254</v>
      </c>
      <c r="L120" t="s">
        <v>26</v>
      </c>
      <c r="M120" t="s">
        <v>40</v>
      </c>
      <c r="N120" t="s">
        <v>62</v>
      </c>
      <c r="O120" t="s">
        <v>366</v>
      </c>
      <c r="P120">
        <v>157.79</v>
      </c>
      <c r="Q120">
        <v>1</v>
      </c>
      <c r="R120">
        <v>0.7</v>
      </c>
      <c r="S120">
        <v>-115.72</v>
      </c>
    </row>
    <row r="121" spans="1:19" x14ac:dyDescent="0.3">
      <c r="A121" t="s">
        <v>32</v>
      </c>
      <c r="B121">
        <v>2013</v>
      </c>
      <c r="C121" t="s">
        <v>33</v>
      </c>
      <c r="D121" t="s">
        <v>264</v>
      </c>
      <c r="E121">
        <v>3</v>
      </c>
      <c r="F121" t="s">
        <v>151</v>
      </c>
      <c r="G121" t="s">
        <v>367</v>
      </c>
      <c r="H121" t="s">
        <v>22</v>
      </c>
      <c r="I121" t="s">
        <v>23</v>
      </c>
      <c r="J121" t="s">
        <v>368</v>
      </c>
      <c r="K121" t="s">
        <v>194</v>
      </c>
      <c r="L121" t="s">
        <v>121</v>
      </c>
      <c r="M121" t="s">
        <v>27</v>
      </c>
      <c r="N121" t="s">
        <v>55</v>
      </c>
      <c r="O121" t="s">
        <v>369</v>
      </c>
      <c r="P121">
        <v>47.04</v>
      </c>
      <c r="Q121">
        <v>3</v>
      </c>
      <c r="R121">
        <v>0</v>
      </c>
      <c r="S121">
        <v>18.350000000000001</v>
      </c>
    </row>
    <row r="122" spans="1:19" x14ac:dyDescent="0.3">
      <c r="A122" t="s">
        <v>32</v>
      </c>
      <c r="B122">
        <v>2013</v>
      </c>
      <c r="C122" t="s">
        <v>33</v>
      </c>
      <c r="D122" t="s">
        <v>264</v>
      </c>
      <c r="E122">
        <v>3</v>
      </c>
      <c r="F122" t="s">
        <v>151</v>
      </c>
      <c r="G122" t="s">
        <v>367</v>
      </c>
      <c r="H122" t="s">
        <v>22</v>
      </c>
      <c r="I122" t="s">
        <v>23</v>
      </c>
      <c r="J122" t="s">
        <v>368</v>
      </c>
      <c r="K122" t="s">
        <v>194</v>
      </c>
      <c r="L122" t="s">
        <v>121</v>
      </c>
      <c r="M122" t="s">
        <v>40</v>
      </c>
      <c r="N122" t="s">
        <v>62</v>
      </c>
      <c r="O122" t="s">
        <v>63</v>
      </c>
      <c r="P122">
        <v>30.84</v>
      </c>
      <c r="Q122">
        <v>4</v>
      </c>
      <c r="R122">
        <v>0</v>
      </c>
      <c r="S122">
        <v>13.88</v>
      </c>
    </row>
    <row r="123" spans="1:19" x14ac:dyDescent="0.3">
      <c r="A123" t="s">
        <v>32</v>
      </c>
      <c r="B123">
        <v>2013</v>
      </c>
      <c r="C123" t="s">
        <v>33</v>
      </c>
      <c r="D123" t="s">
        <v>264</v>
      </c>
      <c r="E123">
        <v>3</v>
      </c>
      <c r="F123" t="s">
        <v>151</v>
      </c>
      <c r="G123" t="s">
        <v>367</v>
      </c>
      <c r="H123" t="s">
        <v>22</v>
      </c>
      <c r="I123" t="s">
        <v>23</v>
      </c>
      <c r="J123" t="s">
        <v>368</v>
      </c>
      <c r="K123" t="s">
        <v>194</v>
      </c>
      <c r="L123" t="s">
        <v>121</v>
      </c>
      <c r="M123" t="s">
        <v>40</v>
      </c>
      <c r="N123" t="s">
        <v>51</v>
      </c>
      <c r="O123" t="s">
        <v>370</v>
      </c>
      <c r="P123">
        <v>226.56</v>
      </c>
      <c r="Q123">
        <v>6</v>
      </c>
      <c r="R123">
        <v>0</v>
      </c>
      <c r="S123">
        <v>63.44</v>
      </c>
    </row>
    <row r="124" spans="1:19" x14ac:dyDescent="0.3">
      <c r="A124" t="s">
        <v>32</v>
      </c>
      <c r="B124">
        <v>2013</v>
      </c>
      <c r="C124" t="s">
        <v>33</v>
      </c>
      <c r="D124" t="s">
        <v>264</v>
      </c>
      <c r="E124">
        <v>3</v>
      </c>
      <c r="F124" t="s">
        <v>151</v>
      </c>
      <c r="G124" t="s">
        <v>367</v>
      </c>
      <c r="H124" t="s">
        <v>22</v>
      </c>
      <c r="I124" t="s">
        <v>23</v>
      </c>
      <c r="J124" t="s">
        <v>368</v>
      </c>
      <c r="K124" t="s">
        <v>194</v>
      </c>
      <c r="L124" t="s">
        <v>121</v>
      </c>
      <c r="M124" t="s">
        <v>40</v>
      </c>
      <c r="N124" t="s">
        <v>141</v>
      </c>
      <c r="O124" t="s">
        <v>371</v>
      </c>
      <c r="P124">
        <v>115.02</v>
      </c>
      <c r="Q124">
        <v>9</v>
      </c>
      <c r="R124">
        <v>0</v>
      </c>
      <c r="S124">
        <v>51.76</v>
      </c>
    </row>
    <row r="125" spans="1:19" x14ac:dyDescent="0.3">
      <c r="A125" t="s">
        <v>32</v>
      </c>
      <c r="B125">
        <v>2013</v>
      </c>
      <c r="C125" t="s">
        <v>33</v>
      </c>
      <c r="D125" t="s">
        <v>264</v>
      </c>
      <c r="E125">
        <v>3</v>
      </c>
      <c r="F125" t="s">
        <v>151</v>
      </c>
      <c r="G125" t="s">
        <v>367</v>
      </c>
      <c r="H125" t="s">
        <v>22</v>
      </c>
      <c r="I125" t="s">
        <v>23</v>
      </c>
      <c r="J125" t="s">
        <v>368</v>
      </c>
      <c r="K125" t="s">
        <v>194</v>
      </c>
      <c r="L125" t="s">
        <v>121</v>
      </c>
      <c r="M125" t="s">
        <v>59</v>
      </c>
      <c r="N125" t="s">
        <v>60</v>
      </c>
      <c r="O125" t="s">
        <v>372</v>
      </c>
      <c r="P125">
        <v>68.040000000000006</v>
      </c>
      <c r="Q125">
        <v>7</v>
      </c>
      <c r="R125">
        <v>0</v>
      </c>
      <c r="S125">
        <v>19.73</v>
      </c>
    </row>
    <row r="126" spans="1:19" x14ac:dyDescent="0.3">
      <c r="A126" t="s">
        <v>373</v>
      </c>
      <c r="B126">
        <v>2011</v>
      </c>
      <c r="C126" t="s">
        <v>76</v>
      </c>
      <c r="D126" t="s">
        <v>374</v>
      </c>
      <c r="E126">
        <v>2</v>
      </c>
      <c r="F126" t="s">
        <v>20</v>
      </c>
      <c r="G126" t="s">
        <v>375</v>
      </c>
      <c r="H126" t="s">
        <v>84</v>
      </c>
      <c r="I126" t="s">
        <v>23</v>
      </c>
      <c r="J126" t="s">
        <v>149</v>
      </c>
      <c r="K126" t="s">
        <v>86</v>
      </c>
      <c r="L126" t="s">
        <v>87</v>
      </c>
      <c r="M126" t="s">
        <v>27</v>
      </c>
      <c r="N126" t="s">
        <v>30</v>
      </c>
      <c r="O126" t="s">
        <v>376</v>
      </c>
      <c r="P126">
        <v>600.55999999999995</v>
      </c>
      <c r="Q126">
        <v>3</v>
      </c>
      <c r="R126">
        <v>0.3</v>
      </c>
      <c r="S126">
        <v>-8.58</v>
      </c>
    </row>
    <row r="127" spans="1:19" x14ac:dyDescent="0.3">
      <c r="A127" t="s">
        <v>377</v>
      </c>
      <c r="B127">
        <v>2011</v>
      </c>
      <c r="C127" t="s">
        <v>124</v>
      </c>
      <c r="D127" t="s">
        <v>378</v>
      </c>
      <c r="E127">
        <v>5</v>
      </c>
      <c r="F127" t="s">
        <v>45</v>
      </c>
      <c r="G127" t="s">
        <v>379</v>
      </c>
      <c r="H127" t="s">
        <v>22</v>
      </c>
      <c r="I127" t="s">
        <v>23</v>
      </c>
      <c r="J127" t="s">
        <v>380</v>
      </c>
      <c r="K127" t="s">
        <v>166</v>
      </c>
      <c r="L127" t="s">
        <v>87</v>
      </c>
      <c r="M127" t="s">
        <v>27</v>
      </c>
      <c r="N127" t="s">
        <v>49</v>
      </c>
      <c r="O127" t="s">
        <v>381</v>
      </c>
      <c r="P127">
        <v>617.70000000000005</v>
      </c>
      <c r="Q127">
        <v>6</v>
      </c>
      <c r="R127">
        <v>0.5</v>
      </c>
      <c r="S127">
        <v>-407.68</v>
      </c>
    </row>
    <row r="128" spans="1:19" x14ac:dyDescent="0.3">
      <c r="A128" s="1">
        <v>41801</v>
      </c>
      <c r="B128">
        <v>2014</v>
      </c>
      <c r="C128" t="s">
        <v>19</v>
      </c>
      <c r="D128" t="s">
        <v>304</v>
      </c>
      <c r="E128">
        <v>7</v>
      </c>
      <c r="F128" t="s">
        <v>45</v>
      </c>
      <c r="G128" t="s">
        <v>382</v>
      </c>
      <c r="H128" t="s">
        <v>22</v>
      </c>
      <c r="I128" t="s">
        <v>23</v>
      </c>
      <c r="J128" t="s">
        <v>383</v>
      </c>
      <c r="K128" t="s">
        <v>236</v>
      </c>
      <c r="L128" t="s">
        <v>39</v>
      </c>
      <c r="M128" t="s">
        <v>40</v>
      </c>
      <c r="N128" t="s">
        <v>62</v>
      </c>
      <c r="O128" t="s">
        <v>384</v>
      </c>
      <c r="P128">
        <v>2.39</v>
      </c>
      <c r="Q128">
        <v>2</v>
      </c>
      <c r="R128">
        <v>0.7</v>
      </c>
      <c r="S128">
        <v>-1.83</v>
      </c>
    </row>
    <row r="129" spans="1:19" x14ac:dyDescent="0.3">
      <c r="A129" s="1">
        <v>41801</v>
      </c>
      <c r="B129">
        <v>2014</v>
      </c>
      <c r="C129" t="s">
        <v>19</v>
      </c>
      <c r="D129" t="s">
        <v>304</v>
      </c>
      <c r="E129">
        <v>7</v>
      </c>
      <c r="F129" t="s">
        <v>45</v>
      </c>
      <c r="G129" t="s">
        <v>382</v>
      </c>
      <c r="H129" t="s">
        <v>22</v>
      </c>
      <c r="I129" t="s">
        <v>23</v>
      </c>
      <c r="J129" t="s">
        <v>383</v>
      </c>
      <c r="K129" t="s">
        <v>236</v>
      </c>
      <c r="L129" t="s">
        <v>39</v>
      </c>
      <c r="M129" t="s">
        <v>40</v>
      </c>
      <c r="N129" t="s">
        <v>51</v>
      </c>
      <c r="O129" t="s">
        <v>385</v>
      </c>
      <c r="P129">
        <v>243.99</v>
      </c>
      <c r="Q129">
        <v>7</v>
      </c>
      <c r="R129">
        <v>0.2</v>
      </c>
      <c r="S129">
        <v>30.5</v>
      </c>
    </row>
    <row r="130" spans="1:19" x14ac:dyDescent="0.3">
      <c r="A130" s="1">
        <v>41466</v>
      </c>
      <c r="B130">
        <v>2013</v>
      </c>
      <c r="C130" t="s">
        <v>19</v>
      </c>
      <c r="D130" s="1">
        <v>41589</v>
      </c>
      <c r="E130">
        <v>4</v>
      </c>
      <c r="F130" t="s">
        <v>20</v>
      </c>
      <c r="G130" t="s">
        <v>386</v>
      </c>
      <c r="H130" t="s">
        <v>84</v>
      </c>
      <c r="I130" t="s">
        <v>23</v>
      </c>
      <c r="J130" t="s">
        <v>37</v>
      </c>
      <c r="K130" t="s">
        <v>38</v>
      </c>
      <c r="L130" t="s">
        <v>39</v>
      </c>
      <c r="M130" t="s">
        <v>27</v>
      </c>
      <c r="N130" t="s">
        <v>30</v>
      </c>
      <c r="O130" t="s">
        <v>387</v>
      </c>
      <c r="P130">
        <v>81.42</v>
      </c>
      <c r="Q130">
        <v>2</v>
      </c>
      <c r="R130">
        <v>0.2</v>
      </c>
      <c r="S130">
        <v>-9.16</v>
      </c>
    </row>
    <row r="131" spans="1:19" x14ac:dyDescent="0.3">
      <c r="A131" s="1">
        <v>41466</v>
      </c>
      <c r="B131">
        <v>2013</v>
      </c>
      <c r="C131" t="s">
        <v>19</v>
      </c>
      <c r="D131" s="1">
        <v>41589</v>
      </c>
      <c r="E131">
        <v>4</v>
      </c>
      <c r="F131" t="s">
        <v>20</v>
      </c>
      <c r="G131" t="s">
        <v>386</v>
      </c>
      <c r="H131" t="s">
        <v>84</v>
      </c>
      <c r="I131" t="s">
        <v>23</v>
      </c>
      <c r="J131" t="s">
        <v>37</v>
      </c>
      <c r="K131" t="s">
        <v>38</v>
      </c>
      <c r="L131" t="s">
        <v>39</v>
      </c>
      <c r="M131" t="s">
        <v>27</v>
      </c>
      <c r="N131" t="s">
        <v>55</v>
      </c>
      <c r="O131" t="s">
        <v>388</v>
      </c>
      <c r="P131">
        <v>238.56</v>
      </c>
      <c r="Q131">
        <v>3</v>
      </c>
      <c r="R131">
        <v>0</v>
      </c>
      <c r="S131">
        <v>26.24</v>
      </c>
    </row>
    <row r="132" spans="1:19" x14ac:dyDescent="0.3">
      <c r="A132" s="1">
        <v>41700</v>
      </c>
      <c r="B132">
        <v>2014</v>
      </c>
      <c r="C132" t="s">
        <v>389</v>
      </c>
      <c r="D132" s="1">
        <v>41792</v>
      </c>
      <c r="E132">
        <v>3</v>
      </c>
      <c r="F132" t="s">
        <v>151</v>
      </c>
      <c r="G132" t="s">
        <v>390</v>
      </c>
      <c r="H132" t="s">
        <v>36</v>
      </c>
      <c r="I132" t="s">
        <v>23</v>
      </c>
      <c r="J132" t="s">
        <v>356</v>
      </c>
      <c r="K132" t="s">
        <v>357</v>
      </c>
      <c r="L132" t="s">
        <v>121</v>
      </c>
      <c r="M132" t="s">
        <v>59</v>
      </c>
      <c r="N132" t="s">
        <v>60</v>
      </c>
      <c r="O132" t="s">
        <v>391</v>
      </c>
      <c r="P132">
        <v>59.97</v>
      </c>
      <c r="Q132">
        <v>5</v>
      </c>
      <c r="R132">
        <v>0.4</v>
      </c>
      <c r="S132">
        <v>-11.99</v>
      </c>
    </row>
    <row r="133" spans="1:19" x14ac:dyDescent="0.3">
      <c r="A133" s="1">
        <v>41700</v>
      </c>
      <c r="B133">
        <v>2014</v>
      </c>
      <c r="C133" t="s">
        <v>389</v>
      </c>
      <c r="D133" s="1">
        <v>41792</v>
      </c>
      <c r="E133">
        <v>3</v>
      </c>
      <c r="F133" t="s">
        <v>151</v>
      </c>
      <c r="G133" t="s">
        <v>390</v>
      </c>
      <c r="H133" t="s">
        <v>36</v>
      </c>
      <c r="I133" t="s">
        <v>23</v>
      </c>
      <c r="J133" t="s">
        <v>356</v>
      </c>
      <c r="K133" t="s">
        <v>357</v>
      </c>
      <c r="L133" t="s">
        <v>121</v>
      </c>
      <c r="M133" t="s">
        <v>40</v>
      </c>
      <c r="N133" t="s">
        <v>74</v>
      </c>
      <c r="O133" t="s">
        <v>392</v>
      </c>
      <c r="P133">
        <v>78.3</v>
      </c>
      <c r="Q133">
        <v>2</v>
      </c>
      <c r="R133">
        <v>0.2</v>
      </c>
      <c r="S133">
        <v>29.36</v>
      </c>
    </row>
    <row r="134" spans="1:19" x14ac:dyDescent="0.3">
      <c r="A134" s="1">
        <v>41700</v>
      </c>
      <c r="B134">
        <v>2014</v>
      </c>
      <c r="C134" t="s">
        <v>389</v>
      </c>
      <c r="D134" s="1">
        <v>41792</v>
      </c>
      <c r="E134">
        <v>3</v>
      </c>
      <c r="F134" t="s">
        <v>151</v>
      </c>
      <c r="G134" t="s">
        <v>390</v>
      </c>
      <c r="H134" t="s">
        <v>36</v>
      </c>
      <c r="I134" t="s">
        <v>23</v>
      </c>
      <c r="J134" t="s">
        <v>356</v>
      </c>
      <c r="K134" t="s">
        <v>357</v>
      </c>
      <c r="L134" t="s">
        <v>121</v>
      </c>
      <c r="M134" t="s">
        <v>40</v>
      </c>
      <c r="N134" t="s">
        <v>210</v>
      </c>
      <c r="O134" t="s">
        <v>150</v>
      </c>
      <c r="P134">
        <v>21.46</v>
      </c>
      <c r="Q134">
        <v>9</v>
      </c>
      <c r="R134">
        <v>0.2</v>
      </c>
      <c r="S134">
        <v>6.97</v>
      </c>
    </row>
    <row r="135" spans="1:19" x14ac:dyDescent="0.3">
      <c r="A135" t="s">
        <v>393</v>
      </c>
      <c r="B135">
        <v>2013</v>
      </c>
      <c r="C135" t="s">
        <v>43</v>
      </c>
      <c r="D135" t="s">
        <v>394</v>
      </c>
      <c r="E135">
        <v>6</v>
      </c>
      <c r="F135" t="s">
        <v>45</v>
      </c>
      <c r="G135" t="s">
        <v>395</v>
      </c>
      <c r="H135" t="s">
        <v>22</v>
      </c>
      <c r="I135" t="s">
        <v>23</v>
      </c>
      <c r="J135" t="s">
        <v>396</v>
      </c>
      <c r="K135" t="s">
        <v>38</v>
      </c>
      <c r="L135" t="s">
        <v>39</v>
      </c>
      <c r="M135" t="s">
        <v>40</v>
      </c>
      <c r="N135" t="s">
        <v>74</v>
      </c>
      <c r="O135" t="s">
        <v>397</v>
      </c>
      <c r="P135">
        <v>20.04</v>
      </c>
      <c r="Q135">
        <v>3</v>
      </c>
      <c r="R135">
        <v>0</v>
      </c>
      <c r="S135">
        <v>9.6199999999999992</v>
      </c>
    </row>
    <row r="136" spans="1:19" x14ac:dyDescent="0.3">
      <c r="A136" t="s">
        <v>393</v>
      </c>
      <c r="B136">
        <v>2013</v>
      </c>
      <c r="C136" t="s">
        <v>43</v>
      </c>
      <c r="D136" t="s">
        <v>394</v>
      </c>
      <c r="E136">
        <v>6</v>
      </c>
      <c r="F136" t="s">
        <v>45</v>
      </c>
      <c r="G136" t="s">
        <v>395</v>
      </c>
      <c r="H136" t="s">
        <v>22</v>
      </c>
      <c r="I136" t="s">
        <v>23</v>
      </c>
      <c r="J136" t="s">
        <v>396</v>
      </c>
      <c r="K136" t="s">
        <v>38</v>
      </c>
      <c r="L136" t="s">
        <v>39</v>
      </c>
      <c r="M136" t="s">
        <v>40</v>
      </c>
      <c r="N136" t="s">
        <v>74</v>
      </c>
      <c r="O136" t="s">
        <v>398</v>
      </c>
      <c r="P136">
        <v>35.44</v>
      </c>
      <c r="Q136">
        <v>1</v>
      </c>
      <c r="R136">
        <v>0</v>
      </c>
      <c r="S136">
        <v>16.66</v>
      </c>
    </row>
    <row r="137" spans="1:19" x14ac:dyDescent="0.3">
      <c r="A137" t="s">
        <v>393</v>
      </c>
      <c r="B137">
        <v>2013</v>
      </c>
      <c r="C137" t="s">
        <v>43</v>
      </c>
      <c r="D137" t="s">
        <v>394</v>
      </c>
      <c r="E137">
        <v>6</v>
      </c>
      <c r="F137" t="s">
        <v>45</v>
      </c>
      <c r="G137" t="s">
        <v>395</v>
      </c>
      <c r="H137" t="s">
        <v>22</v>
      </c>
      <c r="I137" t="s">
        <v>23</v>
      </c>
      <c r="J137" t="s">
        <v>396</v>
      </c>
      <c r="K137" t="s">
        <v>38</v>
      </c>
      <c r="L137" t="s">
        <v>39</v>
      </c>
      <c r="M137" t="s">
        <v>40</v>
      </c>
      <c r="N137" t="s">
        <v>57</v>
      </c>
      <c r="O137" t="s">
        <v>399</v>
      </c>
      <c r="P137">
        <v>11.52</v>
      </c>
      <c r="Q137">
        <v>4</v>
      </c>
      <c r="R137">
        <v>0</v>
      </c>
      <c r="S137">
        <v>3.46</v>
      </c>
    </row>
    <row r="138" spans="1:19" x14ac:dyDescent="0.3">
      <c r="A138" t="s">
        <v>393</v>
      </c>
      <c r="B138">
        <v>2013</v>
      </c>
      <c r="C138" t="s">
        <v>43</v>
      </c>
      <c r="D138" t="s">
        <v>394</v>
      </c>
      <c r="E138">
        <v>6</v>
      </c>
      <c r="F138" t="s">
        <v>45</v>
      </c>
      <c r="G138" t="s">
        <v>395</v>
      </c>
      <c r="H138" t="s">
        <v>22</v>
      </c>
      <c r="I138" t="s">
        <v>23</v>
      </c>
      <c r="J138" t="s">
        <v>396</v>
      </c>
      <c r="K138" t="s">
        <v>38</v>
      </c>
      <c r="L138" t="s">
        <v>39</v>
      </c>
      <c r="M138" t="s">
        <v>40</v>
      </c>
      <c r="N138" t="s">
        <v>210</v>
      </c>
      <c r="O138" t="s">
        <v>400</v>
      </c>
      <c r="P138">
        <v>4.0199999999999996</v>
      </c>
      <c r="Q138">
        <v>2</v>
      </c>
      <c r="R138">
        <v>0</v>
      </c>
      <c r="S138">
        <v>1.97</v>
      </c>
    </row>
    <row r="139" spans="1:19" x14ac:dyDescent="0.3">
      <c r="A139" t="s">
        <v>393</v>
      </c>
      <c r="B139">
        <v>2013</v>
      </c>
      <c r="C139" t="s">
        <v>43</v>
      </c>
      <c r="D139" t="s">
        <v>394</v>
      </c>
      <c r="E139">
        <v>6</v>
      </c>
      <c r="F139" t="s">
        <v>45</v>
      </c>
      <c r="G139" t="s">
        <v>395</v>
      </c>
      <c r="H139" t="s">
        <v>22</v>
      </c>
      <c r="I139" t="s">
        <v>23</v>
      </c>
      <c r="J139" t="s">
        <v>396</v>
      </c>
      <c r="K139" t="s">
        <v>38</v>
      </c>
      <c r="L139" t="s">
        <v>39</v>
      </c>
      <c r="M139" t="s">
        <v>40</v>
      </c>
      <c r="N139" t="s">
        <v>62</v>
      </c>
      <c r="O139" t="s">
        <v>401</v>
      </c>
      <c r="P139">
        <v>76.180000000000007</v>
      </c>
      <c r="Q139">
        <v>3</v>
      </c>
      <c r="R139">
        <v>0.2</v>
      </c>
      <c r="S139">
        <v>26.66</v>
      </c>
    </row>
    <row r="140" spans="1:19" x14ac:dyDescent="0.3">
      <c r="A140" t="s">
        <v>393</v>
      </c>
      <c r="B140">
        <v>2013</v>
      </c>
      <c r="C140" t="s">
        <v>43</v>
      </c>
      <c r="D140" t="s">
        <v>394</v>
      </c>
      <c r="E140">
        <v>6</v>
      </c>
      <c r="F140" t="s">
        <v>45</v>
      </c>
      <c r="G140" t="s">
        <v>395</v>
      </c>
      <c r="H140" t="s">
        <v>22</v>
      </c>
      <c r="I140" t="s">
        <v>23</v>
      </c>
      <c r="J140" t="s">
        <v>396</v>
      </c>
      <c r="K140" t="s">
        <v>38</v>
      </c>
      <c r="L140" t="s">
        <v>39</v>
      </c>
      <c r="M140" t="s">
        <v>40</v>
      </c>
      <c r="N140" t="s">
        <v>402</v>
      </c>
      <c r="O140" t="s">
        <v>403</v>
      </c>
      <c r="P140">
        <v>65.88</v>
      </c>
      <c r="Q140">
        <v>6</v>
      </c>
      <c r="R140">
        <v>0</v>
      </c>
      <c r="S140">
        <v>18.45</v>
      </c>
    </row>
    <row r="141" spans="1:19" x14ac:dyDescent="0.3">
      <c r="A141" t="s">
        <v>393</v>
      </c>
      <c r="B141">
        <v>2013</v>
      </c>
      <c r="C141" t="s">
        <v>43</v>
      </c>
      <c r="D141" t="s">
        <v>394</v>
      </c>
      <c r="E141">
        <v>6</v>
      </c>
      <c r="F141" t="s">
        <v>45</v>
      </c>
      <c r="G141" t="s">
        <v>395</v>
      </c>
      <c r="H141" t="s">
        <v>22</v>
      </c>
      <c r="I141" t="s">
        <v>23</v>
      </c>
      <c r="J141" t="s">
        <v>396</v>
      </c>
      <c r="K141" t="s">
        <v>38</v>
      </c>
      <c r="L141" t="s">
        <v>39</v>
      </c>
      <c r="M141" t="s">
        <v>27</v>
      </c>
      <c r="N141" t="s">
        <v>55</v>
      </c>
      <c r="O141" t="s">
        <v>204</v>
      </c>
      <c r="P141">
        <v>43.12</v>
      </c>
      <c r="Q141">
        <v>14</v>
      </c>
      <c r="R141">
        <v>0</v>
      </c>
      <c r="S141">
        <v>20.7</v>
      </c>
    </row>
    <row r="142" spans="1:19" x14ac:dyDescent="0.3">
      <c r="A142" s="1">
        <v>41434</v>
      </c>
      <c r="B142">
        <v>2013</v>
      </c>
      <c r="C142" t="s">
        <v>124</v>
      </c>
      <c r="D142" s="1">
        <v>41495</v>
      </c>
      <c r="E142">
        <v>2</v>
      </c>
      <c r="F142" t="s">
        <v>20</v>
      </c>
      <c r="G142" t="s">
        <v>404</v>
      </c>
      <c r="H142" t="s">
        <v>36</v>
      </c>
      <c r="I142" t="s">
        <v>23</v>
      </c>
      <c r="J142" t="s">
        <v>119</v>
      </c>
      <c r="K142" t="s">
        <v>120</v>
      </c>
      <c r="L142" t="s">
        <v>121</v>
      </c>
      <c r="M142" t="s">
        <v>27</v>
      </c>
      <c r="N142" t="s">
        <v>55</v>
      </c>
      <c r="O142" t="s">
        <v>140</v>
      </c>
      <c r="P142">
        <v>82.8</v>
      </c>
      <c r="Q142">
        <v>2</v>
      </c>
      <c r="R142">
        <v>0.2</v>
      </c>
      <c r="S142">
        <v>10.35</v>
      </c>
    </row>
    <row r="143" spans="1:19" x14ac:dyDescent="0.3">
      <c r="A143" t="s">
        <v>405</v>
      </c>
      <c r="B143">
        <v>2014</v>
      </c>
      <c r="C143" t="s">
        <v>124</v>
      </c>
      <c r="D143" t="s">
        <v>173</v>
      </c>
      <c r="E143">
        <v>5</v>
      </c>
      <c r="F143" t="s">
        <v>45</v>
      </c>
      <c r="G143" t="s">
        <v>406</v>
      </c>
      <c r="H143" t="s">
        <v>36</v>
      </c>
      <c r="I143" t="s">
        <v>23</v>
      </c>
      <c r="J143" t="s">
        <v>105</v>
      </c>
      <c r="K143" t="s">
        <v>38</v>
      </c>
      <c r="L143" t="s">
        <v>39</v>
      </c>
      <c r="M143" t="s">
        <v>40</v>
      </c>
      <c r="N143" t="s">
        <v>57</v>
      </c>
      <c r="O143" t="s">
        <v>407</v>
      </c>
      <c r="P143">
        <v>8.82</v>
      </c>
      <c r="Q143">
        <v>3</v>
      </c>
      <c r="R143">
        <v>0</v>
      </c>
      <c r="S143">
        <v>2.38</v>
      </c>
    </row>
    <row r="144" spans="1:19" x14ac:dyDescent="0.3">
      <c r="A144" t="s">
        <v>405</v>
      </c>
      <c r="B144">
        <v>2014</v>
      </c>
      <c r="C144" t="s">
        <v>124</v>
      </c>
      <c r="D144" t="s">
        <v>173</v>
      </c>
      <c r="E144">
        <v>5</v>
      </c>
      <c r="F144" t="s">
        <v>45</v>
      </c>
      <c r="G144" t="s">
        <v>406</v>
      </c>
      <c r="H144" t="s">
        <v>36</v>
      </c>
      <c r="I144" t="s">
        <v>23</v>
      </c>
      <c r="J144" t="s">
        <v>105</v>
      </c>
      <c r="K144" t="s">
        <v>38</v>
      </c>
      <c r="L144" t="s">
        <v>39</v>
      </c>
      <c r="M144" t="s">
        <v>40</v>
      </c>
      <c r="N144" t="s">
        <v>141</v>
      </c>
      <c r="O144" t="s">
        <v>408</v>
      </c>
      <c r="P144">
        <v>10.86</v>
      </c>
      <c r="Q144">
        <v>3</v>
      </c>
      <c r="R144">
        <v>0</v>
      </c>
      <c r="S144">
        <v>5.0999999999999996</v>
      </c>
    </row>
    <row r="145" spans="1:19" x14ac:dyDescent="0.3">
      <c r="A145" t="s">
        <v>405</v>
      </c>
      <c r="B145">
        <v>2014</v>
      </c>
      <c r="C145" t="s">
        <v>124</v>
      </c>
      <c r="D145" t="s">
        <v>173</v>
      </c>
      <c r="E145">
        <v>5</v>
      </c>
      <c r="F145" t="s">
        <v>45</v>
      </c>
      <c r="G145" t="s">
        <v>406</v>
      </c>
      <c r="H145" t="s">
        <v>36</v>
      </c>
      <c r="I145" t="s">
        <v>23</v>
      </c>
      <c r="J145" t="s">
        <v>105</v>
      </c>
      <c r="K145" t="s">
        <v>38</v>
      </c>
      <c r="L145" t="s">
        <v>39</v>
      </c>
      <c r="M145" t="s">
        <v>40</v>
      </c>
      <c r="N145" t="s">
        <v>74</v>
      </c>
      <c r="O145" t="s">
        <v>409</v>
      </c>
      <c r="P145">
        <v>143.69999999999999</v>
      </c>
      <c r="Q145">
        <v>3</v>
      </c>
      <c r="R145">
        <v>0</v>
      </c>
      <c r="S145">
        <v>68.98</v>
      </c>
    </row>
    <row r="146" spans="1:19" x14ac:dyDescent="0.3">
      <c r="A146" t="s">
        <v>410</v>
      </c>
      <c r="B146">
        <v>2014</v>
      </c>
      <c r="C146" t="s">
        <v>76</v>
      </c>
      <c r="D146" t="s">
        <v>411</v>
      </c>
      <c r="E146">
        <v>5</v>
      </c>
      <c r="F146" t="s">
        <v>45</v>
      </c>
      <c r="G146" t="s">
        <v>412</v>
      </c>
      <c r="H146" t="s">
        <v>22</v>
      </c>
      <c r="I146" t="s">
        <v>23</v>
      </c>
      <c r="J146" t="s">
        <v>413</v>
      </c>
      <c r="K146" t="s">
        <v>414</v>
      </c>
      <c r="L146" t="s">
        <v>87</v>
      </c>
      <c r="M146" t="s">
        <v>40</v>
      </c>
      <c r="N146" t="s">
        <v>64</v>
      </c>
      <c r="O146" t="s">
        <v>415</v>
      </c>
      <c r="P146">
        <v>839.43</v>
      </c>
      <c r="Q146">
        <v>3</v>
      </c>
      <c r="R146">
        <v>0</v>
      </c>
      <c r="S146">
        <v>218.25</v>
      </c>
    </row>
    <row r="147" spans="1:19" x14ac:dyDescent="0.3">
      <c r="A147" s="1">
        <v>41099</v>
      </c>
      <c r="B147">
        <v>2012</v>
      </c>
      <c r="C147" t="s">
        <v>124</v>
      </c>
      <c r="D147" s="1">
        <v>41252</v>
      </c>
      <c r="E147">
        <v>5</v>
      </c>
      <c r="F147" t="s">
        <v>45</v>
      </c>
      <c r="G147" t="s">
        <v>416</v>
      </c>
      <c r="H147" t="s">
        <v>22</v>
      </c>
      <c r="I147" t="s">
        <v>23</v>
      </c>
      <c r="J147" t="s">
        <v>417</v>
      </c>
      <c r="K147" t="s">
        <v>38</v>
      </c>
      <c r="L147" t="s">
        <v>39</v>
      </c>
      <c r="M147" t="s">
        <v>40</v>
      </c>
      <c r="N147" t="s">
        <v>51</v>
      </c>
      <c r="O147" t="s">
        <v>280</v>
      </c>
      <c r="P147">
        <v>671.93</v>
      </c>
      <c r="Q147">
        <v>7</v>
      </c>
      <c r="R147">
        <v>0</v>
      </c>
      <c r="S147">
        <v>20.16</v>
      </c>
    </row>
    <row r="148" spans="1:19" x14ac:dyDescent="0.3">
      <c r="A148" t="s">
        <v>418</v>
      </c>
      <c r="B148">
        <v>2011</v>
      </c>
      <c r="C148" t="s">
        <v>43</v>
      </c>
      <c r="D148" t="s">
        <v>419</v>
      </c>
      <c r="E148">
        <v>6</v>
      </c>
      <c r="F148" t="s">
        <v>45</v>
      </c>
      <c r="G148" t="s">
        <v>420</v>
      </c>
      <c r="H148" t="s">
        <v>84</v>
      </c>
      <c r="I148" t="s">
        <v>23</v>
      </c>
      <c r="J148" t="s">
        <v>421</v>
      </c>
      <c r="K148" t="s">
        <v>357</v>
      </c>
      <c r="L148" t="s">
        <v>121</v>
      </c>
      <c r="M148" t="s">
        <v>27</v>
      </c>
      <c r="N148" t="s">
        <v>55</v>
      </c>
      <c r="O148" t="s">
        <v>422</v>
      </c>
      <c r="P148">
        <v>93.89</v>
      </c>
      <c r="Q148">
        <v>4</v>
      </c>
      <c r="R148">
        <v>0.2</v>
      </c>
      <c r="S148">
        <v>12.91</v>
      </c>
    </row>
    <row r="149" spans="1:19" x14ac:dyDescent="0.3">
      <c r="A149" s="1">
        <v>41437</v>
      </c>
      <c r="B149">
        <v>2013</v>
      </c>
      <c r="C149" t="s">
        <v>76</v>
      </c>
      <c r="D149" s="1">
        <v>41559</v>
      </c>
      <c r="E149">
        <v>4</v>
      </c>
      <c r="F149" t="s">
        <v>45</v>
      </c>
      <c r="G149" t="s">
        <v>423</v>
      </c>
      <c r="H149" t="s">
        <v>36</v>
      </c>
      <c r="I149" t="s">
        <v>23</v>
      </c>
      <c r="J149" t="s">
        <v>424</v>
      </c>
      <c r="K149" t="s">
        <v>93</v>
      </c>
      <c r="L149" t="s">
        <v>87</v>
      </c>
      <c r="M149" t="s">
        <v>59</v>
      </c>
      <c r="N149" t="s">
        <v>60</v>
      </c>
      <c r="O149" t="s">
        <v>425</v>
      </c>
      <c r="P149">
        <v>384.45</v>
      </c>
      <c r="Q149">
        <v>11</v>
      </c>
      <c r="R149">
        <v>0</v>
      </c>
      <c r="S149">
        <v>103.8</v>
      </c>
    </row>
    <row r="150" spans="1:19" x14ac:dyDescent="0.3">
      <c r="A150" s="1">
        <v>41437</v>
      </c>
      <c r="B150">
        <v>2013</v>
      </c>
      <c r="C150" t="s">
        <v>76</v>
      </c>
      <c r="D150" s="1">
        <v>41559</v>
      </c>
      <c r="E150">
        <v>4</v>
      </c>
      <c r="F150" t="s">
        <v>45</v>
      </c>
      <c r="G150" t="s">
        <v>423</v>
      </c>
      <c r="H150" t="s">
        <v>36</v>
      </c>
      <c r="I150" t="s">
        <v>23</v>
      </c>
      <c r="J150" t="s">
        <v>424</v>
      </c>
      <c r="K150" t="s">
        <v>93</v>
      </c>
      <c r="L150" t="s">
        <v>87</v>
      </c>
      <c r="M150" t="s">
        <v>59</v>
      </c>
      <c r="N150" t="s">
        <v>60</v>
      </c>
      <c r="O150" t="s">
        <v>426</v>
      </c>
      <c r="P150">
        <v>149.97</v>
      </c>
      <c r="Q150">
        <v>3</v>
      </c>
      <c r="R150">
        <v>0</v>
      </c>
      <c r="S150">
        <v>6</v>
      </c>
    </row>
    <row r="151" spans="1:19" x14ac:dyDescent="0.3">
      <c r="A151" s="1">
        <v>41437</v>
      </c>
      <c r="B151">
        <v>2013</v>
      </c>
      <c r="C151" t="s">
        <v>76</v>
      </c>
      <c r="D151" s="1">
        <v>41559</v>
      </c>
      <c r="E151">
        <v>4</v>
      </c>
      <c r="F151" t="s">
        <v>45</v>
      </c>
      <c r="G151" t="s">
        <v>423</v>
      </c>
      <c r="H151" t="s">
        <v>36</v>
      </c>
      <c r="I151" t="s">
        <v>23</v>
      </c>
      <c r="J151" t="s">
        <v>424</v>
      </c>
      <c r="K151" t="s">
        <v>93</v>
      </c>
      <c r="L151" t="s">
        <v>87</v>
      </c>
      <c r="M151" t="s">
        <v>27</v>
      </c>
      <c r="N151" t="s">
        <v>30</v>
      </c>
      <c r="O151" t="s">
        <v>31</v>
      </c>
      <c r="P151">
        <v>1951.84</v>
      </c>
      <c r="Q151">
        <v>8</v>
      </c>
      <c r="R151">
        <v>0</v>
      </c>
      <c r="S151">
        <v>585.54999999999995</v>
      </c>
    </row>
    <row r="152" spans="1:19" x14ac:dyDescent="0.3">
      <c r="A152" s="1">
        <v>41437</v>
      </c>
      <c r="B152">
        <v>2013</v>
      </c>
      <c r="C152" t="s">
        <v>76</v>
      </c>
      <c r="D152" s="1">
        <v>41559</v>
      </c>
      <c r="E152">
        <v>4</v>
      </c>
      <c r="F152" t="s">
        <v>45</v>
      </c>
      <c r="G152" t="s">
        <v>423</v>
      </c>
      <c r="H152" t="s">
        <v>36</v>
      </c>
      <c r="I152" t="s">
        <v>23</v>
      </c>
      <c r="J152" t="s">
        <v>424</v>
      </c>
      <c r="K152" t="s">
        <v>93</v>
      </c>
      <c r="L152" t="s">
        <v>87</v>
      </c>
      <c r="M152" t="s">
        <v>40</v>
      </c>
      <c r="N152" t="s">
        <v>62</v>
      </c>
      <c r="O152" t="s">
        <v>427</v>
      </c>
      <c r="P152">
        <v>171.55</v>
      </c>
      <c r="Q152">
        <v>5</v>
      </c>
      <c r="R152">
        <v>0</v>
      </c>
      <c r="S152">
        <v>80.63</v>
      </c>
    </row>
    <row r="153" spans="1:19" x14ac:dyDescent="0.3">
      <c r="A153" t="s">
        <v>178</v>
      </c>
      <c r="B153">
        <v>2013</v>
      </c>
      <c r="C153" t="s">
        <v>177</v>
      </c>
      <c r="D153" t="s">
        <v>428</v>
      </c>
      <c r="E153">
        <v>3</v>
      </c>
      <c r="F153" t="s">
        <v>151</v>
      </c>
      <c r="G153" t="s">
        <v>429</v>
      </c>
      <c r="H153" t="s">
        <v>84</v>
      </c>
      <c r="I153" t="s">
        <v>23</v>
      </c>
      <c r="J153" t="s">
        <v>430</v>
      </c>
      <c r="K153" t="s">
        <v>236</v>
      </c>
      <c r="L153" t="s">
        <v>39</v>
      </c>
      <c r="M153" t="s">
        <v>40</v>
      </c>
      <c r="N153" t="s">
        <v>64</v>
      </c>
      <c r="O153" t="s">
        <v>431</v>
      </c>
      <c r="P153">
        <v>157.91999999999999</v>
      </c>
      <c r="Q153">
        <v>5</v>
      </c>
      <c r="R153">
        <v>0.2</v>
      </c>
      <c r="S153">
        <v>17.77</v>
      </c>
    </row>
    <row r="154" spans="1:19" x14ac:dyDescent="0.3">
      <c r="A154" t="s">
        <v>178</v>
      </c>
      <c r="B154">
        <v>2013</v>
      </c>
      <c r="C154" t="s">
        <v>177</v>
      </c>
      <c r="D154" t="s">
        <v>428</v>
      </c>
      <c r="E154">
        <v>3</v>
      </c>
      <c r="F154" t="s">
        <v>151</v>
      </c>
      <c r="G154" t="s">
        <v>429</v>
      </c>
      <c r="H154" t="s">
        <v>84</v>
      </c>
      <c r="I154" t="s">
        <v>23</v>
      </c>
      <c r="J154" t="s">
        <v>430</v>
      </c>
      <c r="K154" t="s">
        <v>236</v>
      </c>
      <c r="L154" t="s">
        <v>39</v>
      </c>
      <c r="M154" t="s">
        <v>59</v>
      </c>
      <c r="N154" t="s">
        <v>60</v>
      </c>
      <c r="O154" t="s">
        <v>432</v>
      </c>
      <c r="P154">
        <v>203.18</v>
      </c>
      <c r="Q154">
        <v>2</v>
      </c>
      <c r="R154">
        <v>0.2</v>
      </c>
      <c r="S154">
        <v>15.24</v>
      </c>
    </row>
    <row r="155" spans="1:19" x14ac:dyDescent="0.3">
      <c r="A155" t="s">
        <v>433</v>
      </c>
      <c r="B155">
        <v>2012</v>
      </c>
      <c r="C155" t="s">
        <v>96</v>
      </c>
      <c r="D155" s="1">
        <v>40945</v>
      </c>
      <c r="E155">
        <v>2</v>
      </c>
      <c r="F155" t="s">
        <v>151</v>
      </c>
      <c r="G155" t="s">
        <v>434</v>
      </c>
      <c r="H155" t="s">
        <v>36</v>
      </c>
      <c r="I155" t="s">
        <v>23</v>
      </c>
      <c r="J155" t="s">
        <v>435</v>
      </c>
      <c r="K155" t="s">
        <v>38</v>
      </c>
      <c r="L155" t="s">
        <v>39</v>
      </c>
      <c r="M155" t="s">
        <v>40</v>
      </c>
      <c r="N155" t="s">
        <v>74</v>
      </c>
      <c r="O155" t="s">
        <v>436</v>
      </c>
      <c r="P155">
        <v>58.38</v>
      </c>
      <c r="Q155">
        <v>7</v>
      </c>
      <c r="R155">
        <v>0</v>
      </c>
      <c r="S155">
        <v>26.27</v>
      </c>
    </row>
    <row r="156" spans="1:19" x14ac:dyDescent="0.3">
      <c r="A156" t="s">
        <v>433</v>
      </c>
      <c r="B156">
        <v>2012</v>
      </c>
      <c r="C156" t="s">
        <v>96</v>
      </c>
      <c r="D156" s="1">
        <v>40945</v>
      </c>
      <c r="E156">
        <v>2</v>
      </c>
      <c r="F156" t="s">
        <v>151</v>
      </c>
      <c r="G156" t="s">
        <v>434</v>
      </c>
      <c r="H156" t="s">
        <v>36</v>
      </c>
      <c r="I156" t="s">
        <v>23</v>
      </c>
      <c r="J156" t="s">
        <v>435</v>
      </c>
      <c r="K156" t="s">
        <v>38</v>
      </c>
      <c r="L156" t="s">
        <v>39</v>
      </c>
      <c r="M156" t="s">
        <v>40</v>
      </c>
      <c r="N156" t="s">
        <v>74</v>
      </c>
      <c r="O156" t="s">
        <v>437</v>
      </c>
      <c r="P156">
        <v>105.52</v>
      </c>
      <c r="Q156">
        <v>4</v>
      </c>
      <c r="R156">
        <v>0</v>
      </c>
      <c r="S156">
        <v>48.54</v>
      </c>
    </row>
    <row r="157" spans="1:19" x14ac:dyDescent="0.3">
      <c r="A157" t="s">
        <v>433</v>
      </c>
      <c r="B157">
        <v>2012</v>
      </c>
      <c r="C157" t="s">
        <v>96</v>
      </c>
      <c r="D157" s="1">
        <v>40945</v>
      </c>
      <c r="E157">
        <v>2</v>
      </c>
      <c r="F157" t="s">
        <v>151</v>
      </c>
      <c r="G157" t="s">
        <v>434</v>
      </c>
      <c r="H157" t="s">
        <v>36</v>
      </c>
      <c r="I157" t="s">
        <v>23</v>
      </c>
      <c r="J157" t="s">
        <v>435</v>
      </c>
      <c r="K157" t="s">
        <v>38</v>
      </c>
      <c r="L157" t="s">
        <v>39</v>
      </c>
      <c r="M157" t="s">
        <v>40</v>
      </c>
      <c r="N157" t="s">
        <v>51</v>
      </c>
      <c r="O157" t="s">
        <v>438</v>
      </c>
      <c r="P157">
        <v>80.88</v>
      </c>
      <c r="Q157">
        <v>6</v>
      </c>
      <c r="R157">
        <v>0</v>
      </c>
      <c r="S157">
        <v>21.03</v>
      </c>
    </row>
    <row r="158" spans="1:19" x14ac:dyDescent="0.3">
      <c r="A158" t="s">
        <v>439</v>
      </c>
      <c r="B158">
        <v>2012</v>
      </c>
      <c r="C158" t="s">
        <v>96</v>
      </c>
      <c r="D158" s="1">
        <v>40974</v>
      </c>
      <c r="E158">
        <v>6</v>
      </c>
      <c r="F158" t="s">
        <v>45</v>
      </c>
      <c r="G158" t="s">
        <v>440</v>
      </c>
      <c r="H158" t="s">
        <v>84</v>
      </c>
      <c r="I158" t="s">
        <v>23</v>
      </c>
      <c r="J158" t="s">
        <v>78</v>
      </c>
      <c r="K158" t="s">
        <v>79</v>
      </c>
      <c r="L158" t="s">
        <v>39</v>
      </c>
      <c r="M158" t="s">
        <v>40</v>
      </c>
      <c r="N158" t="s">
        <v>57</v>
      </c>
      <c r="O158" t="s">
        <v>441</v>
      </c>
      <c r="P158">
        <v>6.63</v>
      </c>
      <c r="Q158">
        <v>3</v>
      </c>
      <c r="R158">
        <v>0</v>
      </c>
      <c r="S158">
        <v>1.79</v>
      </c>
    </row>
    <row r="159" spans="1:19" x14ac:dyDescent="0.3">
      <c r="A159" s="1">
        <v>40546</v>
      </c>
      <c r="B159">
        <v>2011</v>
      </c>
      <c r="C159" t="s">
        <v>177</v>
      </c>
      <c r="D159" s="1">
        <v>40697</v>
      </c>
      <c r="E159">
        <v>5</v>
      </c>
      <c r="F159" t="s">
        <v>20</v>
      </c>
      <c r="G159" t="s">
        <v>442</v>
      </c>
      <c r="H159" t="s">
        <v>22</v>
      </c>
      <c r="I159" t="s">
        <v>23</v>
      </c>
      <c r="J159" t="s">
        <v>78</v>
      </c>
      <c r="K159" t="s">
        <v>79</v>
      </c>
      <c r="L159" t="s">
        <v>39</v>
      </c>
      <c r="M159" t="s">
        <v>27</v>
      </c>
      <c r="N159" t="s">
        <v>30</v>
      </c>
      <c r="O159" t="s">
        <v>376</v>
      </c>
      <c r="P159">
        <v>457.57</v>
      </c>
      <c r="Q159">
        <v>2</v>
      </c>
      <c r="R159">
        <v>0.2</v>
      </c>
      <c r="S159">
        <v>51.48</v>
      </c>
    </row>
    <row r="160" spans="1:19" x14ac:dyDescent="0.3">
      <c r="A160" t="s">
        <v>443</v>
      </c>
      <c r="B160">
        <v>2013</v>
      </c>
      <c r="C160" t="s">
        <v>19</v>
      </c>
      <c r="D160" t="s">
        <v>444</v>
      </c>
      <c r="E160">
        <v>4</v>
      </c>
      <c r="F160" t="s">
        <v>45</v>
      </c>
      <c r="G160" t="s">
        <v>445</v>
      </c>
      <c r="H160" t="s">
        <v>22</v>
      </c>
      <c r="I160" t="s">
        <v>23</v>
      </c>
      <c r="J160" t="s">
        <v>446</v>
      </c>
      <c r="K160" t="s">
        <v>447</v>
      </c>
      <c r="L160" t="s">
        <v>87</v>
      </c>
      <c r="M160" t="s">
        <v>40</v>
      </c>
      <c r="N160" t="s">
        <v>41</v>
      </c>
      <c r="O160" t="s">
        <v>448</v>
      </c>
      <c r="P160">
        <v>14.62</v>
      </c>
      <c r="Q160">
        <v>2</v>
      </c>
      <c r="R160">
        <v>0</v>
      </c>
      <c r="S160">
        <v>6.87</v>
      </c>
    </row>
    <row r="161" spans="1:19" x14ac:dyDescent="0.3">
      <c r="A161" t="s">
        <v>443</v>
      </c>
      <c r="B161">
        <v>2013</v>
      </c>
      <c r="C161" t="s">
        <v>19</v>
      </c>
      <c r="D161" t="s">
        <v>444</v>
      </c>
      <c r="E161">
        <v>4</v>
      </c>
      <c r="F161" t="s">
        <v>45</v>
      </c>
      <c r="G161" t="s">
        <v>445</v>
      </c>
      <c r="H161" t="s">
        <v>22</v>
      </c>
      <c r="I161" t="s">
        <v>23</v>
      </c>
      <c r="J161" t="s">
        <v>446</v>
      </c>
      <c r="K161" t="s">
        <v>447</v>
      </c>
      <c r="L161" t="s">
        <v>87</v>
      </c>
      <c r="M161" t="s">
        <v>59</v>
      </c>
      <c r="N161" t="s">
        <v>60</v>
      </c>
      <c r="O161" t="s">
        <v>449</v>
      </c>
      <c r="P161">
        <v>944.93</v>
      </c>
      <c r="Q161">
        <v>7</v>
      </c>
      <c r="R161">
        <v>0</v>
      </c>
      <c r="S161">
        <v>236.23</v>
      </c>
    </row>
    <row r="162" spans="1:19" x14ac:dyDescent="0.3">
      <c r="A162" s="1">
        <v>41613</v>
      </c>
      <c r="B162">
        <v>2013</v>
      </c>
      <c r="C162" t="s">
        <v>96</v>
      </c>
      <c r="D162" t="s">
        <v>450</v>
      </c>
      <c r="E162">
        <v>1</v>
      </c>
      <c r="F162" t="s">
        <v>151</v>
      </c>
      <c r="G162" t="s">
        <v>451</v>
      </c>
      <c r="H162" t="s">
        <v>22</v>
      </c>
      <c r="I162" t="s">
        <v>23</v>
      </c>
      <c r="J162" t="s">
        <v>37</v>
      </c>
      <c r="K162" t="s">
        <v>38</v>
      </c>
      <c r="L162" t="s">
        <v>39</v>
      </c>
      <c r="M162" t="s">
        <v>40</v>
      </c>
      <c r="N162" t="s">
        <v>74</v>
      </c>
      <c r="O162" t="s">
        <v>452</v>
      </c>
      <c r="P162">
        <v>5.98</v>
      </c>
      <c r="Q162">
        <v>1</v>
      </c>
      <c r="R162">
        <v>0</v>
      </c>
      <c r="S162">
        <v>2.69</v>
      </c>
    </row>
    <row r="163" spans="1:19" x14ac:dyDescent="0.3">
      <c r="A163" t="s">
        <v>453</v>
      </c>
      <c r="B163">
        <v>2012</v>
      </c>
      <c r="C163" t="s">
        <v>76</v>
      </c>
      <c r="D163" t="s">
        <v>157</v>
      </c>
      <c r="E163">
        <v>3</v>
      </c>
      <c r="F163" t="s">
        <v>20</v>
      </c>
      <c r="G163" t="s">
        <v>454</v>
      </c>
      <c r="H163" t="s">
        <v>22</v>
      </c>
      <c r="I163" t="s">
        <v>23</v>
      </c>
      <c r="J163" t="s">
        <v>119</v>
      </c>
      <c r="K163" t="s">
        <v>120</v>
      </c>
      <c r="L163" t="s">
        <v>121</v>
      </c>
      <c r="M163" t="s">
        <v>59</v>
      </c>
      <c r="N163" t="s">
        <v>133</v>
      </c>
      <c r="O163" t="s">
        <v>455</v>
      </c>
      <c r="P163">
        <v>54.38</v>
      </c>
      <c r="Q163">
        <v>2</v>
      </c>
      <c r="R163">
        <v>0.2</v>
      </c>
      <c r="S163">
        <v>1.36</v>
      </c>
    </row>
    <row r="164" spans="1:19" x14ac:dyDescent="0.3">
      <c r="A164" t="s">
        <v>456</v>
      </c>
      <c r="B164">
        <v>2013</v>
      </c>
      <c r="C164" t="s">
        <v>19</v>
      </c>
      <c r="D164" t="s">
        <v>443</v>
      </c>
      <c r="E164">
        <v>4</v>
      </c>
      <c r="F164" t="s">
        <v>45</v>
      </c>
      <c r="G164" t="s">
        <v>457</v>
      </c>
      <c r="H164" t="s">
        <v>22</v>
      </c>
      <c r="I164" t="s">
        <v>23</v>
      </c>
      <c r="J164" t="s">
        <v>458</v>
      </c>
      <c r="K164" t="s">
        <v>459</v>
      </c>
      <c r="L164" t="s">
        <v>39</v>
      </c>
      <c r="M164" t="s">
        <v>40</v>
      </c>
      <c r="N164" t="s">
        <v>141</v>
      </c>
      <c r="O164" t="s">
        <v>150</v>
      </c>
      <c r="P164">
        <v>28.4</v>
      </c>
      <c r="Q164">
        <v>5</v>
      </c>
      <c r="R164">
        <v>0</v>
      </c>
      <c r="S164">
        <v>13.35</v>
      </c>
    </row>
    <row r="165" spans="1:19" x14ac:dyDescent="0.3">
      <c r="A165" s="1">
        <v>41497</v>
      </c>
      <c r="B165">
        <v>2013</v>
      </c>
      <c r="C165" t="s">
        <v>19</v>
      </c>
      <c r="D165" s="1">
        <v>41619</v>
      </c>
      <c r="E165">
        <v>4</v>
      </c>
      <c r="F165" t="s">
        <v>45</v>
      </c>
      <c r="G165" t="s">
        <v>460</v>
      </c>
      <c r="H165" t="s">
        <v>22</v>
      </c>
      <c r="I165" t="s">
        <v>23</v>
      </c>
      <c r="J165" t="s">
        <v>78</v>
      </c>
      <c r="K165" t="s">
        <v>79</v>
      </c>
      <c r="L165" t="s">
        <v>39</v>
      </c>
      <c r="M165" t="s">
        <v>40</v>
      </c>
      <c r="N165" t="s">
        <v>62</v>
      </c>
      <c r="O165" t="s">
        <v>461</v>
      </c>
      <c r="P165">
        <v>27.68</v>
      </c>
      <c r="Q165">
        <v>2</v>
      </c>
      <c r="R165">
        <v>0.2</v>
      </c>
      <c r="S165">
        <v>9.69</v>
      </c>
    </row>
    <row r="166" spans="1:19" x14ac:dyDescent="0.3">
      <c r="A166" s="1">
        <v>40764</v>
      </c>
      <c r="B166">
        <v>2011</v>
      </c>
      <c r="C166" t="s">
        <v>124</v>
      </c>
      <c r="D166" s="1">
        <v>40886</v>
      </c>
      <c r="E166">
        <v>4</v>
      </c>
      <c r="F166" t="s">
        <v>45</v>
      </c>
      <c r="G166" t="s">
        <v>462</v>
      </c>
      <c r="H166" t="s">
        <v>22</v>
      </c>
      <c r="I166" t="s">
        <v>23</v>
      </c>
      <c r="J166" t="s">
        <v>463</v>
      </c>
      <c r="K166" t="s">
        <v>86</v>
      </c>
      <c r="L166" t="s">
        <v>87</v>
      </c>
      <c r="M166" t="s">
        <v>40</v>
      </c>
      <c r="N166" t="s">
        <v>57</v>
      </c>
      <c r="O166" t="s">
        <v>464</v>
      </c>
      <c r="P166">
        <v>9.94</v>
      </c>
      <c r="Q166">
        <v>3</v>
      </c>
      <c r="R166">
        <v>0.2</v>
      </c>
      <c r="S166">
        <v>2.73</v>
      </c>
    </row>
    <row r="167" spans="1:19" x14ac:dyDescent="0.3">
      <c r="A167" s="1">
        <v>40764</v>
      </c>
      <c r="B167">
        <v>2011</v>
      </c>
      <c r="C167" t="s">
        <v>124</v>
      </c>
      <c r="D167" s="1">
        <v>40886</v>
      </c>
      <c r="E167">
        <v>4</v>
      </c>
      <c r="F167" t="s">
        <v>45</v>
      </c>
      <c r="G167" t="s">
        <v>462</v>
      </c>
      <c r="H167" t="s">
        <v>22</v>
      </c>
      <c r="I167" t="s">
        <v>23</v>
      </c>
      <c r="J167" t="s">
        <v>463</v>
      </c>
      <c r="K167" t="s">
        <v>86</v>
      </c>
      <c r="L167" t="s">
        <v>87</v>
      </c>
      <c r="M167" t="s">
        <v>59</v>
      </c>
      <c r="N167" t="s">
        <v>465</v>
      </c>
      <c r="O167" t="s">
        <v>466</v>
      </c>
      <c r="P167">
        <v>8159.95</v>
      </c>
      <c r="Q167">
        <v>8</v>
      </c>
      <c r="R167">
        <v>0.4</v>
      </c>
      <c r="S167">
        <v>-1359.99</v>
      </c>
    </row>
    <row r="168" spans="1:19" x14ac:dyDescent="0.3">
      <c r="A168" s="1">
        <v>40764</v>
      </c>
      <c r="B168">
        <v>2011</v>
      </c>
      <c r="C168" t="s">
        <v>124</v>
      </c>
      <c r="D168" s="1">
        <v>40886</v>
      </c>
      <c r="E168">
        <v>4</v>
      </c>
      <c r="F168" t="s">
        <v>45</v>
      </c>
      <c r="G168" t="s">
        <v>462</v>
      </c>
      <c r="H168" t="s">
        <v>22</v>
      </c>
      <c r="I168" t="s">
        <v>23</v>
      </c>
      <c r="J168" t="s">
        <v>463</v>
      </c>
      <c r="K168" t="s">
        <v>86</v>
      </c>
      <c r="L168" t="s">
        <v>87</v>
      </c>
      <c r="M168" t="s">
        <v>40</v>
      </c>
      <c r="N168" t="s">
        <v>51</v>
      </c>
      <c r="O168" t="s">
        <v>467</v>
      </c>
      <c r="P168">
        <v>275.93</v>
      </c>
      <c r="Q168">
        <v>3</v>
      </c>
      <c r="R168">
        <v>0.2</v>
      </c>
      <c r="S168">
        <v>-58.63</v>
      </c>
    </row>
    <row r="169" spans="1:19" x14ac:dyDescent="0.3">
      <c r="A169" s="1">
        <v>40764</v>
      </c>
      <c r="B169">
        <v>2011</v>
      </c>
      <c r="C169" t="s">
        <v>124</v>
      </c>
      <c r="D169" s="1">
        <v>40886</v>
      </c>
      <c r="E169">
        <v>4</v>
      </c>
      <c r="F169" t="s">
        <v>45</v>
      </c>
      <c r="G169" t="s">
        <v>462</v>
      </c>
      <c r="H169" t="s">
        <v>22</v>
      </c>
      <c r="I169" t="s">
        <v>23</v>
      </c>
      <c r="J169" t="s">
        <v>463</v>
      </c>
      <c r="K169" t="s">
        <v>86</v>
      </c>
      <c r="L169" t="s">
        <v>87</v>
      </c>
      <c r="M169" t="s">
        <v>27</v>
      </c>
      <c r="N169" t="s">
        <v>30</v>
      </c>
      <c r="O169" t="s">
        <v>468</v>
      </c>
      <c r="P169">
        <v>1740.06</v>
      </c>
      <c r="Q169">
        <v>9</v>
      </c>
      <c r="R169">
        <v>0.3</v>
      </c>
      <c r="S169">
        <v>-24.86</v>
      </c>
    </row>
    <row r="170" spans="1:19" x14ac:dyDescent="0.3">
      <c r="A170" s="1">
        <v>40764</v>
      </c>
      <c r="B170">
        <v>2011</v>
      </c>
      <c r="C170" t="s">
        <v>124</v>
      </c>
      <c r="D170" s="1">
        <v>40886</v>
      </c>
      <c r="E170">
        <v>4</v>
      </c>
      <c r="F170" t="s">
        <v>45</v>
      </c>
      <c r="G170" t="s">
        <v>462</v>
      </c>
      <c r="H170" t="s">
        <v>22</v>
      </c>
      <c r="I170" t="s">
        <v>23</v>
      </c>
      <c r="J170" t="s">
        <v>463</v>
      </c>
      <c r="K170" t="s">
        <v>86</v>
      </c>
      <c r="L170" t="s">
        <v>87</v>
      </c>
      <c r="M170" t="s">
        <v>40</v>
      </c>
      <c r="N170" t="s">
        <v>57</v>
      </c>
      <c r="O170" t="s">
        <v>469</v>
      </c>
      <c r="P170">
        <v>32.06</v>
      </c>
      <c r="Q170">
        <v>6</v>
      </c>
      <c r="R170">
        <v>0.2</v>
      </c>
      <c r="S170">
        <v>6.81</v>
      </c>
    </row>
    <row r="171" spans="1:19" x14ac:dyDescent="0.3">
      <c r="A171" s="1">
        <v>40764</v>
      </c>
      <c r="B171">
        <v>2011</v>
      </c>
      <c r="C171" t="s">
        <v>124</v>
      </c>
      <c r="D171" s="1">
        <v>40886</v>
      </c>
      <c r="E171">
        <v>4</v>
      </c>
      <c r="F171" t="s">
        <v>45</v>
      </c>
      <c r="G171" t="s">
        <v>462</v>
      </c>
      <c r="H171" t="s">
        <v>22</v>
      </c>
      <c r="I171" t="s">
        <v>23</v>
      </c>
      <c r="J171" t="s">
        <v>463</v>
      </c>
      <c r="K171" t="s">
        <v>86</v>
      </c>
      <c r="L171" t="s">
        <v>87</v>
      </c>
      <c r="M171" t="s">
        <v>40</v>
      </c>
      <c r="N171" t="s">
        <v>64</v>
      </c>
      <c r="O171" t="s">
        <v>470</v>
      </c>
      <c r="P171">
        <v>177.98</v>
      </c>
      <c r="Q171">
        <v>5</v>
      </c>
      <c r="R171">
        <v>0.8</v>
      </c>
      <c r="S171">
        <v>-453.85</v>
      </c>
    </row>
    <row r="172" spans="1:19" x14ac:dyDescent="0.3">
      <c r="A172" s="1">
        <v>40764</v>
      </c>
      <c r="B172">
        <v>2011</v>
      </c>
      <c r="C172" t="s">
        <v>124</v>
      </c>
      <c r="D172" s="1">
        <v>40886</v>
      </c>
      <c r="E172">
        <v>4</v>
      </c>
      <c r="F172" t="s">
        <v>45</v>
      </c>
      <c r="G172" t="s">
        <v>462</v>
      </c>
      <c r="H172" t="s">
        <v>22</v>
      </c>
      <c r="I172" t="s">
        <v>23</v>
      </c>
      <c r="J172" t="s">
        <v>463</v>
      </c>
      <c r="K172" t="s">
        <v>86</v>
      </c>
      <c r="L172" t="s">
        <v>87</v>
      </c>
      <c r="M172" t="s">
        <v>59</v>
      </c>
      <c r="N172" t="s">
        <v>60</v>
      </c>
      <c r="O172" t="s">
        <v>471</v>
      </c>
      <c r="P172">
        <v>143.97999999999999</v>
      </c>
      <c r="Q172">
        <v>3</v>
      </c>
      <c r="R172">
        <v>0.2</v>
      </c>
      <c r="S172">
        <v>9</v>
      </c>
    </row>
    <row r="173" spans="1:19" x14ac:dyDescent="0.3">
      <c r="A173" s="1">
        <v>40671</v>
      </c>
      <c r="B173">
        <v>2011</v>
      </c>
      <c r="C173" t="s">
        <v>103</v>
      </c>
      <c r="D173" s="1">
        <v>40794</v>
      </c>
      <c r="E173">
        <v>4</v>
      </c>
      <c r="F173" t="s">
        <v>45</v>
      </c>
      <c r="G173" t="s">
        <v>472</v>
      </c>
      <c r="H173" t="s">
        <v>22</v>
      </c>
      <c r="I173" t="s">
        <v>23</v>
      </c>
      <c r="J173" t="s">
        <v>37</v>
      </c>
      <c r="K173" t="s">
        <v>38</v>
      </c>
      <c r="L173" t="s">
        <v>39</v>
      </c>
      <c r="M173" t="s">
        <v>40</v>
      </c>
      <c r="N173" t="s">
        <v>74</v>
      </c>
      <c r="O173" t="s">
        <v>473</v>
      </c>
      <c r="P173">
        <v>20.94</v>
      </c>
      <c r="Q173">
        <v>3</v>
      </c>
      <c r="R173">
        <v>0</v>
      </c>
      <c r="S173">
        <v>9.84</v>
      </c>
    </row>
    <row r="174" spans="1:19" x14ac:dyDescent="0.3">
      <c r="A174" s="1">
        <v>40671</v>
      </c>
      <c r="B174">
        <v>2011</v>
      </c>
      <c r="C174" t="s">
        <v>103</v>
      </c>
      <c r="D174" s="1">
        <v>40794</v>
      </c>
      <c r="E174">
        <v>4</v>
      </c>
      <c r="F174" t="s">
        <v>45</v>
      </c>
      <c r="G174" t="s">
        <v>472</v>
      </c>
      <c r="H174" t="s">
        <v>22</v>
      </c>
      <c r="I174" t="s">
        <v>23</v>
      </c>
      <c r="J174" t="s">
        <v>37</v>
      </c>
      <c r="K174" t="s">
        <v>38</v>
      </c>
      <c r="L174" t="s">
        <v>39</v>
      </c>
      <c r="M174" t="s">
        <v>40</v>
      </c>
      <c r="N174" t="s">
        <v>74</v>
      </c>
      <c r="O174" t="s">
        <v>474</v>
      </c>
      <c r="P174">
        <v>110.96</v>
      </c>
      <c r="Q174">
        <v>2</v>
      </c>
      <c r="R174">
        <v>0</v>
      </c>
      <c r="S174">
        <v>53.26</v>
      </c>
    </row>
    <row r="175" spans="1:19" x14ac:dyDescent="0.3">
      <c r="A175" s="1">
        <v>40671</v>
      </c>
      <c r="B175">
        <v>2011</v>
      </c>
      <c r="C175" t="s">
        <v>103</v>
      </c>
      <c r="D175" s="1">
        <v>40794</v>
      </c>
      <c r="E175">
        <v>4</v>
      </c>
      <c r="F175" t="s">
        <v>45</v>
      </c>
      <c r="G175" t="s">
        <v>472</v>
      </c>
      <c r="H175" t="s">
        <v>22</v>
      </c>
      <c r="I175" t="s">
        <v>23</v>
      </c>
      <c r="J175" t="s">
        <v>37</v>
      </c>
      <c r="K175" t="s">
        <v>38</v>
      </c>
      <c r="L175" t="s">
        <v>39</v>
      </c>
      <c r="M175" t="s">
        <v>27</v>
      </c>
      <c r="N175" t="s">
        <v>30</v>
      </c>
      <c r="O175" t="s">
        <v>475</v>
      </c>
      <c r="P175">
        <v>340.14</v>
      </c>
      <c r="Q175">
        <v>7</v>
      </c>
      <c r="R175">
        <v>0.2</v>
      </c>
      <c r="S175">
        <v>21.26</v>
      </c>
    </row>
    <row r="176" spans="1:19" x14ac:dyDescent="0.3">
      <c r="A176" t="s">
        <v>476</v>
      </c>
      <c r="B176">
        <v>2011</v>
      </c>
      <c r="C176" t="s">
        <v>124</v>
      </c>
      <c r="D176" t="s">
        <v>477</v>
      </c>
      <c r="E176">
        <v>5</v>
      </c>
      <c r="F176" t="s">
        <v>45</v>
      </c>
      <c r="G176" t="s">
        <v>478</v>
      </c>
      <c r="H176" t="s">
        <v>36</v>
      </c>
      <c r="I176" t="s">
        <v>23</v>
      </c>
      <c r="J176" t="s">
        <v>232</v>
      </c>
      <c r="K176" t="s">
        <v>166</v>
      </c>
      <c r="L176" t="s">
        <v>87</v>
      </c>
      <c r="M176" t="s">
        <v>40</v>
      </c>
      <c r="N176" t="s">
        <v>64</v>
      </c>
      <c r="O176" t="s">
        <v>479</v>
      </c>
      <c r="P176">
        <v>52.45</v>
      </c>
      <c r="Q176">
        <v>2</v>
      </c>
      <c r="R176">
        <v>0.8</v>
      </c>
      <c r="S176">
        <v>-131.12</v>
      </c>
    </row>
    <row r="177" spans="1:19" x14ac:dyDescent="0.3">
      <c r="A177" t="s">
        <v>476</v>
      </c>
      <c r="B177">
        <v>2011</v>
      </c>
      <c r="C177" t="s">
        <v>124</v>
      </c>
      <c r="D177" t="s">
        <v>477</v>
      </c>
      <c r="E177">
        <v>5</v>
      </c>
      <c r="F177" t="s">
        <v>45</v>
      </c>
      <c r="G177" t="s">
        <v>478</v>
      </c>
      <c r="H177" t="s">
        <v>36</v>
      </c>
      <c r="I177" t="s">
        <v>23</v>
      </c>
      <c r="J177" t="s">
        <v>232</v>
      </c>
      <c r="K177" t="s">
        <v>166</v>
      </c>
      <c r="L177" t="s">
        <v>87</v>
      </c>
      <c r="M177" t="s">
        <v>40</v>
      </c>
      <c r="N177" t="s">
        <v>41</v>
      </c>
      <c r="O177" t="s">
        <v>480</v>
      </c>
      <c r="P177">
        <v>20.16</v>
      </c>
      <c r="Q177">
        <v>4</v>
      </c>
      <c r="R177">
        <v>0.2</v>
      </c>
      <c r="S177">
        <v>6.55</v>
      </c>
    </row>
    <row r="178" spans="1:19" x14ac:dyDescent="0.3">
      <c r="A178" t="s">
        <v>481</v>
      </c>
      <c r="B178">
        <v>2014</v>
      </c>
      <c r="C178" t="s">
        <v>69</v>
      </c>
      <c r="D178" t="s">
        <v>482</v>
      </c>
      <c r="E178">
        <v>4</v>
      </c>
      <c r="F178" t="s">
        <v>20</v>
      </c>
      <c r="G178" t="s">
        <v>483</v>
      </c>
      <c r="H178" t="s">
        <v>22</v>
      </c>
      <c r="I178" t="s">
        <v>23</v>
      </c>
      <c r="J178" t="s">
        <v>149</v>
      </c>
      <c r="K178" t="s">
        <v>86</v>
      </c>
      <c r="L178" t="s">
        <v>87</v>
      </c>
      <c r="M178" t="s">
        <v>40</v>
      </c>
      <c r="N178" t="s">
        <v>64</v>
      </c>
      <c r="O178" t="s">
        <v>484</v>
      </c>
      <c r="P178">
        <v>97.26</v>
      </c>
      <c r="Q178">
        <v>4</v>
      </c>
      <c r="R178">
        <v>0.8</v>
      </c>
      <c r="S178">
        <v>-243.16</v>
      </c>
    </row>
    <row r="179" spans="1:19" x14ac:dyDescent="0.3">
      <c r="A179" t="s">
        <v>485</v>
      </c>
      <c r="B179">
        <v>2012</v>
      </c>
      <c r="C179" t="s">
        <v>19</v>
      </c>
      <c r="D179" t="s">
        <v>486</v>
      </c>
      <c r="E179">
        <v>2</v>
      </c>
      <c r="F179" t="s">
        <v>20</v>
      </c>
      <c r="G179" t="s">
        <v>252</v>
      </c>
      <c r="H179" t="s">
        <v>22</v>
      </c>
      <c r="I179" t="s">
        <v>23</v>
      </c>
      <c r="J179" t="s">
        <v>421</v>
      </c>
      <c r="K179" t="s">
        <v>357</v>
      </c>
      <c r="L179" t="s">
        <v>121</v>
      </c>
      <c r="M179" t="s">
        <v>27</v>
      </c>
      <c r="N179" t="s">
        <v>30</v>
      </c>
      <c r="O179" t="s">
        <v>487</v>
      </c>
      <c r="P179">
        <v>396.8</v>
      </c>
      <c r="Q179">
        <v>7</v>
      </c>
      <c r="R179">
        <v>0.3</v>
      </c>
      <c r="S179">
        <v>-11.34</v>
      </c>
    </row>
    <row r="180" spans="1:19" x14ac:dyDescent="0.3">
      <c r="A180" t="s">
        <v>485</v>
      </c>
      <c r="B180">
        <v>2012</v>
      </c>
      <c r="C180" t="s">
        <v>19</v>
      </c>
      <c r="D180" t="s">
        <v>486</v>
      </c>
      <c r="E180">
        <v>2</v>
      </c>
      <c r="F180" t="s">
        <v>20</v>
      </c>
      <c r="G180" t="s">
        <v>252</v>
      </c>
      <c r="H180" t="s">
        <v>22</v>
      </c>
      <c r="I180" t="s">
        <v>23</v>
      </c>
      <c r="J180" t="s">
        <v>421</v>
      </c>
      <c r="K180" t="s">
        <v>357</v>
      </c>
      <c r="L180" t="s">
        <v>121</v>
      </c>
      <c r="M180" t="s">
        <v>40</v>
      </c>
      <c r="N180" t="s">
        <v>402</v>
      </c>
      <c r="O180" t="s">
        <v>488</v>
      </c>
      <c r="P180">
        <v>15.88</v>
      </c>
      <c r="Q180">
        <v>5</v>
      </c>
      <c r="R180">
        <v>0.2</v>
      </c>
      <c r="S180">
        <v>-3.77</v>
      </c>
    </row>
    <row r="181" spans="1:19" x14ac:dyDescent="0.3">
      <c r="A181" t="s">
        <v>489</v>
      </c>
      <c r="B181">
        <v>2012</v>
      </c>
      <c r="C181" t="s">
        <v>76</v>
      </c>
      <c r="D181" t="s">
        <v>490</v>
      </c>
      <c r="E181">
        <v>4</v>
      </c>
      <c r="F181" t="s">
        <v>45</v>
      </c>
      <c r="G181" t="s">
        <v>491</v>
      </c>
      <c r="H181" t="s">
        <v>84</v>
      </c>
      <c r="I181" t="s">
        <v>23</v>
      </c>
      <c r="J181" t="s">
        <v>208</v>
      </c>
      <c r="K181" t="s">
        <v>209</v>
      </c>
      <c r="L181" t="s">
        <v>121</v>
      </c>
      <c r="M181" t="s">
        <v>40</v>
      </c>
      <c r="N181" t="s">
        <v>57</v>
      </c>
      <c r="O181" t="s">
        <v>492</v>
      </c>
      <c r="P181">
        <v>3.28</v>
      </c>
      <c r="Q181">
        <v>1</v>
      </c>
      <c r="R181">
        <v>0</v>
      </c>
      <c r="S181">
        <v>1.41</v>
      </c>
    </row>
    <row r="182" spans="1:19" x14ac:dyDescent="0.3">
      <c r="A182" s="1">
        <v>40675</v>
      </c>
      <c r="B182">
        <v>2011</v>
      </c>
      <c r="C182" t="s">
        <v>76</v>
      </c>
      <c r="D182" s="1">
        <v>40798</v>
      </c>
      <c r="E182">
        <v>4</v>
      </c>
      <c r="F182" t="s">
        <v>20</v>
      </c>
      <c r="G182" t="s">
        <v>493</v>
      </c>
      <c r="H182" t="s">
        <v>36</v>
      </c>
      <c r="I182" t="s">
        <v>23</v>
      </c>
      <c r="J182" t="s">
        <v>266</v>
      </c>
      <c r="K182" t="s">
        <v>166</v>
      </c>
      <c r="L182" t="s">
        <v>87</v>
      </c>
      <c r="M182" t="s">
        <v>40</v>
      </c>
      <c r="N182" t="s">
        <v>51</v>
      </c>
      <c r="O182" t="s">
        <v>494</v>
      </c>
      <c r="P182">
        <v>24.82</v>
      </c>
      <c r="Q182">
        <v>2</v>
      </c>
      <c r="R182">
        <v>0.2</v>
      </c>
      <c r="S182">
        <v>1.86</v>
      </c>
    </row>
    <row r="183" spans="1:19" x14ac:dyDescent="0.3">
      <c r="A183" s="1">
        <v>40675</v>
      </c>
      <c r="B183">
        <v>2011</v>
      </c>
      <c r="C183" t="s">
        <v>76</v>
      </c>
      <c r="D183" s="1">
        <v>40798</v>
      </c>
      <c r="E183">
        <v>4</v>
      </c>
      <c r="F183" t="s">
        <v>20</v>
      </c>
      <c r="G183" t="s">
        <v>493</v>
      </c>
      <c r="H183" t="s">
        <v>36</v>
      </c>
      <c r="I183" t="s">
        <v>23</v>
      </c>
      <c r="J183" t="s">
        <v>266</v>
      </c>
      <c r="K183" t="s">
        <v>166</v>
      </c>
      <c r="L183" t="s">
        <v>87</v>
      </c>
      <c r="M183" t="s">
        <v>59</v>
      </c>
      <c r="N183" t="s">
        <v>133</v>
      </c>
      <c r="O183" t="s">
        <v>495</v>
      </c>
      <c r="P183">
        <v>408.74</v>
      </c>
      <c r="Q183">
        <v>7</v>
      </c>
      <c r="R183">
        <v>0.2</v>
      </c>
      <c r="S183">
        <v>76.64</v>
      </c>
    </row>
    <row r="184" spans="1:19" x14ac:dyDescent="0.3">
      <c r="A184" t="s">
        <v>496</v>
      </c>
      <c r="B184">
        <v>2011</v>
      </c>
      <c r="C184" t="s">
        <v>19</v>
      </c>
      <c r="D184" t="s">
        <v>497</v>
      </c>
      <c r="E184">
        <v>5</v>
      </c>
      <c r="F184" t="s">
        <v>20</v>
      </c>
      <c r="G184" t="s">
        <v>498</v>
      </c>
      <c r="H184" t="s">
        <v>84</v>
      </c>
      <c r="I184" t="s">
        <v>23</v>
      </c>
      <c r="J184" t="s">
        <v>499</v>
      </c>
      <c r="K184" t="s">
        <v>500</v>
      </c>
      <c r="L184" t="s">
        <v>26</v>
      </c>
      <c r="M184" t="s">
        <v>59</v>
      </c>
      <c r="N184" t="s">
        <v>60</v>
      </c>
      <c r="O184" t="s">
        <v>501</v>
      </c>
      <c r="P184">
        <v>503.96</v>
      </c>
      <c r="Q184">
        <v>4</v>
      </c>
      <c r="R184">
        <v>0</v>
      </c>
      <c r="S184">
        <v>131.03</v>
      </c>
    </row>
    <row r="185" spans="1:19" x14ac:dyDescent="0.3">
      <c r="A185" t="s">
        <v>496</v>
      </c>
      <c r="B185">
        <v>2011</v>
      </c>
      <c r="C185" t="s">
        <v>19</v>
      </c>
      <c r="D185" t="s">
        <v>497</v>
      </c>
      <c r="E185">
        <v>5</v>
      </c>
      <c r="F185" t="s">
        <v>20</v>
      </c>
      <c r="G185" t="s">
        <v>498</v>
      </c>
      <c r="H185" t="s">
        <v>84</v>
      </c>
      <c r="I185" t="s">
        <v>23</v>
      </c>
      <c r="J185" t="s">
        <v>499</v>
      </c>
      <c r="K185" t="s">
        <v>500</v>
      </c>
      <c r="L185" t="s">
        <v>26</v>
      </c>
      <c r="M185" t="s">
        <v>59</v>
      </c>
      <c r="N185" t="s">
        <v>60</v>
      </c>
      <c r="O185" t="s">
        <v>502</v>
      </c>
      <c r="P185">
        <v>149.94999999999999</v>
      </c>
      <c r="Q185">
        <v>5</v>
      </c>
      <c r="R185">
        <v>0</v>
      </c>
      <c r="S185">
        <v>41.99</v>
      </c>
    </row>
    <row r="186" spans="1:19" x14ac:dyDescent="0.3">
      <c r="A186" t="s">
        <v>496</v>
      </c>
      <c r="B186">
        <v>2011</v>
      </c>
      <c r="C186" t="s">
        <v>19</v>
      </c>
      <c r="D186" t="s">
        <v>497</v>
      </c>
      <c r="E186">
        <v>5</v>
      </c>
      <c r="F186" t="s">
        <v>20</v>
      </c>
      <c r="G186" t="s">
        <v>498</v>
      </c>
      <c r="H186" t="s">
        <v>84</v>
      </c>
      <c r="I186" t="s">
        <v>23</v>
      </c>
      <c r="J186" t="s">
        <v>499</v>
      </c>
      <c r="K186" t="s">
        <v>500</v>
      </c>
      <c r="L186" t="s">
        <v>26</v>
      </c>
      <c r="M186" t="s">
        <v>59</v>
      </c>
      <c r="N186" t="s">
        <v>133</v>
      </c>
      <c r="O186" t="s">
        <v>503</v>
      </c>
      <c r="P186">
        <v>29</v>
      </c>
      <c r="Q186">
        <v>2</v>
      </c>
      <c r="R186">
        <v>0</v>
      </c>
      <c r="S186">
        <v>7.25</v>
      </c>
    </row>
    <row r="187" spans="1:19" x14ac:dyDescent="0.3">
      <c r="A187" t="s">
        <v>504</v>
      </c>
      <c r="B187">
        <v>2013</v>
      </c>
      <c r="C187" t="s">
        <v>19</v>
      </c>
      <c r="D187" s="1">
        <v>41345</v>
      </c>
      <c r="E187">
        <v>4</v>
      </c>
      <c r="F187" t="s">
        <v>45</v>
      </c>
      <c r="G187" t="s">
        <v>505</v>
      </c>
      <c r="H187" t="s">
        <v>22</v>
      </c>
      <c r="I187" t="s">
        <v>23</v>
      </c>
      <c r="J187" t="s">
        <v>506</v>
      </c>
      <c r="K187" t="s">
        <v>507</v>
      </c>
      <c r="L187" t="s">
        <v>121</v>
      </c>
      <c r="M187" t="s">
        <v>40</v>
      </c>
      <c r="N187" t="s">
        <v>62</v>
      </c>
      <c r="O187" t="s">
        <v>508</v>
      </c>
      <c r="P187">
        <v>7.16</v>
      </c>
      <c r="Q187">
        <v>2</v>
      </c>
      <c r="R187">
        <v>0</v>
      </c>
      <c r="S187">
        <v>3.44</v>
      </c>
    </row>
    <row r="188" spans="1:19" x14ac:dyDescent="0.3">
      <c r="A188" t="s">
        <v>509</v>
      </c>
      <c r="B188">
        <v>2011</v>
      </c>
      <c r="C188" t="s">
        <v>103</v>
      </c>
      <c r="D188" t="s">
        <v>510</v>
      </c>
      <c r="E188">
        <v>4</v>
      </c>
      <c r="F188" t="s">
        <v>45</v>
      </c>
      <c r="G188" t="s">
        <v>511</v>
      </c>
      <c r="H188" t="s">
        <v>84</v>
      </c>
      <c r="I188" t="s">
        <v>23</v>
      </c>
      <c r="J188" t="s">
        <v>37</v>
      </c>
      <c r="K188" t="s">
        <v>38</v>
      </c>
      <c r="L188" t="s">
        <v>39</v>
      </c>
      <c r="M188" t="s">
        <v>59</v>
      </c>
      <c r="N188" t="s">
        <v>133</v>
      </c>
      <c r="O188" t="s">
        <v>512</v>
      </c>
      <c r="P188">
        <v>176.8</v>
      </c>
      <c r="Q188">
        <v>8</v>
      </c>
      <c r="R188">
        <v>0</v>
      </c>
      <c r="S188">
        <v>22.98</v>
      </c>
    </row>
    <row r="189" spans="1:19" x14ac:dyDescent="0.3">
      <c r="A189" t="s">
        <v>513</v>
      </c>
      <c r="B189">
        <v>2013</v>
      </c>
      <c r="C189" t="s">
        <v>116</v>
      </c>
      <c r="D189" t="s">
        <v>169</v>
      </c>
      <c r="E189">
        <v>6</v>
      </c>
      <c r="F189" t="s">
        <v>45</v>
      </c>
      <c r="G189" t="s">
        <v>514</v>
      </c>
      <c r="H189" t="s">
        <v>36</v>
      </c>
      <c r="I189" t="s">
        <v>23</v>
      </c>
      <c r="J189" t="s">
        <v>515</v>
      </c>
      <c r="K189" t="s">
        <v>86</v>
      </c>
      <c r="L189" t="s">
        <v>87</v>
      </c>
      <c r="M189" t="s">
        <v>40</v>
      </c>
      <c r="N189" t="s">
        <v>51</v>
      </c>
      <c r="O189" t="s">
        <v>516</v>
      </c>
      <c r="P189">
        <v>37.22</v>
      </c>
      <c r="Q189">
        <v>3</v>
      </c>
      <c r="R189">
        <v>0.2</v>
      </c>
      <c r="S189">
        <v>3.72</v>
      </c>
    </row>
    <row r="190" spans="1:19" x14ac:dyDescent="0.3">
      <c r="A190" t="s">
        <v>513</v>
      </c>
      <c r="B190">
        <v>2013</v>
      </c>
      <c r="C190" t="s">
        <v>116</v>
      </c>
      <c r="D190" t="s">
        <v>169</v>
      </c>
      <c r="E190">
        <v>6</v>
      </c>
      <c r="F190" t="s">
        <v>45</v>
      </c>
      <c r="G190" t="s">
        <v>514</v>
      </c>
      <c r="H190" t="s">
        <v>36</v>
      </c>
      <c r="I190" t="s">
        <v>23</v>
      </c>
      <c r="J190" t="s">
        <v>515</v>
      </c>
      <c r="K190" t="s">
        <v>86</v>
      </c>
      <c r="L190" t="s">
        <v>87</v>
      </c>
      <c r="M190" t="s">
        <v>40</v>
      </c>
      <c r="N190" t="s">
        <v>74</v>
      </c>
      <c r="O190" t="s">
        <v>436</v>
      </c>
      <c r="P190">
        <v>20.02</v>
      </c>
      <c r="Q190">
        <v>3</v>
      </c>
      <c r="R190">
        <v>0.2</v>
      </c>
      <c r="S190">
        <v>6.26</v>
      </c>
    </row>
    <row r="191" spans="1:19" x14ac:dyDescent="0.3">
      <c r="A191" s="1">
        <v>41253</v>
      </c>
      <c r="B191">
        <v>2012</v>
      </c>
      <c r="C191" t="s">
        <v>43</v>
      </c>
      <c r="D191" t="s">
        <v>517</v>
      </c>
      <c r="E191">
        <v>2</v>
      </c>
      <c r="F191" t="s">
        <v>151</v>
      </c>
      <c r="G191" t="s">
        <v>518</v>
      </c>
      <c r="H191" t="s">
        <v>84</v>
      </c>
      <c r="I191" t="s">
        <v>23</v>
      </c>
      <c r="J191" t="s">
        <v>208</v>
      </c>
      <c r="K191" t="s">
        <v>209</v>
      </c>
      <c r="L191" t="s">
        <v>121</v>
      </c>
      <c r="M191" t="s">
        <v>27</v>
      </c>
      <c r="N191" t="s">
        <v>28</v>
      </c>
      <c r="O191" t="s">
        <v>519</v>
      </c>
      <c r="P191">
        <v>899.14</v>
      </c>
      <c r="Q191">
        <v>4</v>
      </c>
      <c r="R191">
        <v>0.2</v>
      </c>
      <c r="S191">
        <v>112.39</v>
      </c>
    </row>
    <row r="192" spans="1:19" x14ac:dyDescent="0.3">
      <c r="A192" s="1">
        <v>41253</v>
      </c>
      <c r="B192">
        <v>2012</v>
      </c>
      <c r="C192" t="s">
        <v>43</v>
      </c>
      <c r="D192" t="s">
        <v>517</v>
      </c>
      <c r="E192">
        <v>2</v>
      </c>
      <c r="F192" t="s">
        <v>151</v>
      </c>
      <c r="G192" t="s">
        <v>518</v>
      </c>
      <c r="H192" t="s">
        <v>84</v>
      </c>
      <c r="I192" t="s">
        <v>23</v>
      </c>
      <c r="J192" t="s">
        <v>208</v>
      </c>
      <c r="K192" t="s">
        <v>209</v>
      </c>
      <c r="L192" t="s">
        <v>121</v>
      </c>
      <c r="M192" t="s">
        <v>59</v>
      </c>
      <c r="N192" t="s">
        <v>60</v>
      </c>
      <c r="O192" t="s">
        <v>520</v>
      </c>
      <c r="P192">
        <v>71.760000000000005</v>
      </c>
      <c r="Q192">
        <v>6</v>
      </c>
      <c r="R192">
        <v>0</v>
      </c>
      <c r="S192">
        <v>20.09</v>
      </c>
    </row>
    <row r="193" spans="1:19" x14ac:dyDescent="0.3">
      <c r="A193" s="1">
        <v>41253</v>
      </c>
      <c r="B193">
        <v>2012</v>
      </c>
      <c r="C193" t="s">
        <v>43</v>
      </c>
      <c r="D193" t="s">
        <v>517</v>
      </c>
      <c r="E193">
        <v>2</v>
      </c>
      <c r="F193" t="s">
        <v>151</v>
      </c>
      <c r="G193" t="s">
        <v>518</v>
      </c>
      <c r="H193" t="s">
        <v>84</v>
      </c>
      <c r="I193" t="s">
        <v>23</v>
      </c>
      <c r="J193" t="s">
        <v>208</v>
      </c>
      <c r="K193" t="s">
        <v>209</v>
      </c>
      <c r="L193" t="s">
        <v>121</v>
      </c>
      <c r="M193" t="s">
        <v>40</v>
      </c>
      <c r="N193" t="s">
        <v>74</v>
      </c>
      <c r="O193" t="s">
        <v>521</v>
      </c>
      <c r="P193">
        <v>51.84</v>
      </c>
      <c r="Q193">
        <v>8</v>
      </c>
      <c r="R193">
        <v>0</v>
      </c>
      <c r="S193">
        <v>24.88</v>
      </c>
    </row>
    <row r="194" spans="1:19" x14ac:dyDescent="0.3">
      <c r="A194" s="1">
        <v>41253</v>
      </c>
      <c r="B194">
        <v>2012</v>
      </c>
      <c r="C194" t="s">
        <v>43</v>
      </c>
      <c r="D194" t="s">
        <v>517</v>
      </c>
      <c r="E194">
        <v>2</v>
      </c>
      <c r="F194" t="s">
        <v>151</v>
      </c>
      <c r="G194" t="s">
        <v>518</v>
      </c>
      <c r="H194" t="s">
        <v>84</v>
      </c>
      <c r="I194" t="s">
        <v>23</v>
      </c>
      <c r="J194" t="s">
        <v>208</v>
      </c>
      <c r="K194" t="s">
        <v>209</v>
      </c>
      <c r="L194" t="s">
        <v>121</v>
      </c>
      <c r="M194" t="s">
        <v>27</v>
      </c>
      <c r="N194" t="s">
        <v>28</v>
      </c>
      <c r="O194" t="s">
        <v>160</v>
      </c>
      <c r="P194">
        <v>626.35</v>
      </c>
      <c r="Q194">
        <v>3</v>
      </c>
      <c r="R194">
        <v>0.2</v>
      </c>
      <c r="S194">
        <v>46.98</v>
      </c>
    </row>
    <row r="195" spans="1:19" x14ac:dyDescent="0.3">
      <c r="A195" s="1">
        <v>41253</v>
      </c>
      <c r="B195">
        <v>2012</v>
      </c>
      <c r="C195" t="s">
        <v>43</v>
      </c>
      <c r="D195" t="s">
        <v>517</v>
      </c>
      <c r="E195">
        <v>2</v>
      </c>
      <c r="F195" t="s">
        <v>151</v>
      </c>
      <c r="G195" t="s">
        <v>518</v>
      </c>
      <c r="H195" t="s">
        <v>84</v>
      </c>
      <c r="I195" t="s">
        <v>23</v>
      </c>
      <c r="J195" t="s">
        <v>208</v>
      </c>
      <c r="K195" t="s">
        <v>209</v>
      </c>
      <c r="L195" t="s">
        <v>121</v>
      </c>
      <c r="M195" t="s">
        <v>40</v>
      </c>
      <c r="N195" t="s">
        <v>57</v>
      </c>
      <c r="O195" t="s">
        <v>522</v>
      </c>
      <c r="P195">
        <v>19.899999999999999</v>
      </c>
      <c r="Q195">
        <v>5</v>
      </c>
      <c r="R195">
        <v>0</v>
      </c>
      <c r="S195">
        <v>6.57</v>
      </c>
    </row>
    <row r="196" spans="1:19" x14ac:dyDescent="0.3">
      <c r="A196" t="s">
        <v>523</v>
      </c>
      <c r="B196">
        <v>2012</v>
      </c>
      <c r="C196" t="s">
        <v>43</v>
      </c>
      <c r="D196" s="1">
        <v>41071</v>
      </c>
      <c r="E196">
        <v>6</v>
      </c>
      <c r="F196" t="s">
        <v>45</v>
      </c>
      <c r="G196" t="s">
        <v>524</v>
      </c>
      <c r="H196" t="s">
        <v>36</v>
      </c>
      <c r="I196" t="s">
        <v>23</v>
      </c>
      <c r="J196" t="s">
        <v>525</v>
      </c>
      <c r="K196" t="s">
        <v>38</v>
      </c>
      <c r="L196" t="s">
        <v>39</v>
      </c>
      <c r="M196" t="s">
        <v>40</v>
      </c>
      <c r="N196" t="s">
        <v>141</v>
      </c>
      <c r="O196" t="s">
        <v>142</v>
      </c>
      <c r="P196">
        <v>14.28</v>
      </c>
      <c r="Q196">
        <v>7</v>
      </c>
      <c r="R196">
        <v>0</v>
      </c>
      <c r="S196">
        <v>6.71</v>
      </c>
    </row>
    <row r="197" spans="1:19" x14ac:dyDescent="0.3">
      <c r="A197" t="s">
        <v>526</v>
      </c>
      <c r="B197">
        <v>2011</v>
      </c>
      <c r="C197" t="s">
        <v>177</v>
      </c>
      <c r="D197" t="s">
        <v>527</v>
      </c>
      <c r="E197">
        <v>4</v>
      </c>
      <c r="F197" t="s">
        <v>45</v>
      </c>
      <c r="G197" t="s">
        <v>528</v>
      </c>
      <c r="H197" t="s">
        <v>22</v>
      </c>
      <c r="I197" t="s">
        <v>23</v>
      </c>
      <c r="J197" t="s">
        <v>529</v>
      </c>
      <c r="K197" t="s">
        <v>357</v>
      </c>
      <c r="L197" t="s">
        <v>121</v>
      </c>
      <c r="M197" t="s">
        <v>40</v>
      </c>
      <c r="N197" t="s">
        <v>57</v>
      </c>
      <c r="O197" t="s">
        <v>530</v>
      </c>
      <c r="P197">
        <v>7.41</v>
      </c>
      <c r="Q197">
        <v>2</v>
      </c>
      <c r="R197">
        <v>0.2</v>
      </c>
      <c r="S197">
        <v>1.2</v>
      </c>
    </row>
    <row r="198" spans="1:19" x14ac:dyDescent="0.3">
      <c r="A198" t="s">
        <v>526</v>
      </c>
      <c r="B198">
        <v>2011</v>
      </c>
      <c r="C198" t="s">
        <v>177</v>
      </c>
      <c r="D198" t="s">
        <v>527</v>
      </c>
      <c r="E198">
        <v>4</v>
      </c>
      <c r="F198" t="s">
        <v>45</v>
      </c>
      <c r="G198" t="s">
        <v>528</v>
      </c>
      <c r="H198" t="s">
        <v>22</v>
      </c>
      <c r="I198" t="s">
        <v>23</v>
      </c>
      <c r="J198" t="s">
        <v>529</v>
      </c>
      <c r="K198" t="s">
        <v>357</v>
      </c>
      <c r="L198" t="s">
        <v>121</v>
      </c>
      <c r="M198" t="s">
        <v>40</v>
      </c>
      <c r="N198" t="s">
        <v>57</v>
      </c>
      <c r="O198" t="s">
        <v>531</v>
      </c>
      <c r="P198">
        <v>6.05</v>
      </c>
      <c r="Q198">
        <v>3</v>
      </c>
      <c r="R198">
        <v>0.2</v>
      </c>
      <c r="S198">
        <v>1.59</v>
      </c>
    </row>
    <row r="199" spans="1:19" x14ac:dyDescent="0.3">
      <c r="A199" s="1">
        <v>41831</v>
      </c>
      <c r="B199">
        <v>2014</v>
      </c>
      <c r="C199" t="s">
        <v>19</v>
      </c>
      <c r="D199" t="s">
        <v>277</v>
      </c>
      <c r="E199">
        <v>7</v>
      </c>
      <c r="F199" t="s">
        <v>45</v>
      </c>
      <c r="G199" t="s">
        <v>532</v>
      </c>
      <c r="H199" t="s">
        <v>84</v>
      </c>
      <c r="I199" t="s">
        <v>23</v>
      </c>
      <c r="J199" t="s">
        <v>533</v>
      </c>
      <c r="K199" t="s">
        <v>534</v>
      </c>
      <c r="L199" t="s">
        <v>121</v>
      </c>
      <c r="M199" t="s">
        <v>40</v>
      </c>
      <c r="N199" t="s">
        <v>51</v>
      </c>
      <c r="O199" t="s">
        <v>535</v>
      </c>
      <c r="P199">
        <v>46.26</v>
      </c>
      <c r="Q199">
        <v>3</v>
      </c>
      <c r="R199">
        <v>0</v>
      </c>
      <c r="S199">
        <v>12.03</v>
      </c>
    </row>
    <row r="200" spans="1:19" x14ac:dyDescent="0.3">
      <c r="A200" s="1">
        <v>41827</v>
      </c>
      <c r="B200">
        <v>2014</v>
      </c>
      <c r="C200" t="s">
        <v>116</v>
      </c>
      <c r="D200" t="s">
        <v>536</v>
      </c>
      <c r="E200">
        <v>7</v>
      </c>
      <c r="F200" t="s">
        <v>45</v>
      </c>
      <c r="G200" t="s">
        <v>537</v>
      </c>
      <c r="H200" t="s">
        <v>36</v>
      </c>
      <c r="I200" t="s">
        <v>23</v>
      </c>
      <c r="J200" t="s">
        <v>119</v>
      </c>
      <c r="K200" t="s">
        <v>120</v>
      </c>
      <c r="L200" t="s">
        <v>121</v>
      </c>
      <c r="M200" t="s">
        <v>40</v>
      </c>
      <c r="N200" t="s">
        <v>62</v>
      </c>
      <c r="O200" t="s">
        <v>538</v>
      </c>
      <c r="P200">
        <v>2.95</v>
      </c>
      <c r="Q200">
        <v>2</v>
      </c>
      <c r="R200">
        <v>0.7</v>
      </c>
      <c r="S200">
        <v>-2.2599999999999998</v>
      </c>
    </row>
    <row r="201" spans="1:19" x14ac:dyDescent="0.3">
      <c r="A201" s="1">
        <v>41827</v>
      </c>
      <c r="B201">
        <v>2014</v>
      </c>
      <c r="C201" t="s">
        <v>116</v>
      </c>
      <c r="D201" t="s">
        <v>536</v>
      </c>
      <c r="E201">
        <v>7</v>
      </c>
      <c r="F201" t="s">
        <v>45</v>
      </c>
      <c r="G201" t="s">
        <v>537</v>
      </c>
      <c r="H201" t="s">
        <v>36</v>
      </c>
      <c r="I201" t="s">
        <v>23</v>
      </c>
      <c r="J201" t="s">
        <v>119</v>
      </c>
      <c r="K201" t="s">
        <v>120</v>
      </c>
      <c r="L201" t="s">
        <v>121</v>
      </c>
      <c r="M201" t="s">
        <v>40</v>
      </c>
      <c r="N201" t="s">
        <v>74</v>
      </c>
      <c r="O201" t="s">
        <v>539</v>
      </c>
      <c r="P201">
        <v>16.059999999999999</v>
      </c>
      <c r="Q201">
        <v>3</v>
      </c>
      <c r="R201">
        <v>0.2</v>
      </c>
      <c r="S201">
        <v>5.82</v>
      </c>
    </row>
    <row r="202" spans="1:19" x14ac:dyDescent="0.3">
      <c r="A202" t="s">
        <v>540</v>
      </c>
      <c r="B202">
        <v>2014</v>
      </c>
      <c r="C202" t="s">
        <v>33</v>
      </c>
      <c r="D202" t="s">
        <v>541</v>
      </c>
      <c r="E202">
        <v>5</v>
      </c>
      <c r="F202" t="s">
        <v>45</v>
      </c>
      <c r="G202" t="s">
        <v>542</v>
      </c>
      <c r="H202" t="s">
        <v>22</v>
      </c>
      <c r="I202" t="s">
        <v>23</v>
      </c>
      <c r="J202" t="s">
        <v>543</v>
      </c>
      <c r="K202" t="s">
        <v>357</v>
      </c>
      <c r="L202" t="s">
        <v>121</v>
      </c>
      <c r="M202" t="s">
        <v>40</v>
      </c>
      <c r="N202" t="s">
        <v>74</v>
      </c>
      <c r="O202" t="s">
        <v>544</v>
      </c>
      <c r="P202">
        <v>21.74</v>
      </c>
      <c r="Q202">
        <v>3</v>
      </c>
      <c r="R202">
        <v>0.2</v>
      </c>
      <c r="S202">
        <v>6.8</v>
      </c>
    </row>
    <row r="203" spans="1:19" x14ac:dyDescent="0.3">
      <c r="A203" s="1">
        <v>40610</v>
      </c>
      <c r="B203">
        <v>2011</v>
      </c>
      <c r="C203" t="s">
        <v>103</v>
      </c>
      <c r="D203" s="1">
        <v>40671</v>
      </c>
      <c r="E203">
        <v>2</v>
      </c>
      <c r="F203" t="s">
        <v>151</v>
      </c>
      <c r="G203" t="s">
        <v>545</v>
      </c>
      <c r="H203" t="s">
        <v>22</v>
      </c>
      <c r="I203" t="s">
        <v>23</v>
      </c>
      <c r="J203" t="s">
        <v>546</v>
      </c>
      <c r="K203" t="s">
        <v>329</v>
      </c>
      <c r="L203" t="s">
        <v>39</v>
      </c>
      <c r="M203" t="s">
        <v>27</v>
      </c>
      <c r="N203" t="s">
        <v>49</v>
      </c>
      <c r="O203" t="s">
        <v>547</v>
      </c>
      <c r="P203">
        <v>218.75</v>
      </c>
      <c r="Q203">
        <v>2</v>
      </c>
      <c r="R203">
        <v>0.5</v>
      </c>
      <c r="S203">
        <v>-161.88</v>
      </c>
    </row>
    <row r="204" spans="1:19" x14ac:dyDescent="0.3">
      <c r="A204" s="1">
        <v>40610</v>
      </c>
      <c r="B204">
        <v>2011</v>
      </c>
      <c r="C204" t="s">
        <v>103</v>
      </c>
      <c r="D204" s="1">
        <v>40671</v>
      </c>
      <c r="E204">
        <v>2</v>
      </c>
      <c r="F204" t="s">
        <v>151</v>
      </c>
      <c r="G204" t="s">
        <v>545</v>
      </c>
      <c r="H204" t="s">
        <v>22</v>
      </c>
      <c r="I204" t="s">
        <v>23</v>
      </c>
      <c r="J204" t="s">
        <v>546</v>
      </c>
      <c r="K204" t="s">
        <v>329</v>
      </c>
      <c r="L204" t="s">
        <v>39</v>
      </c>
      <c r="M204" t="s">
        <v>40</v>
      </c>
      <c r="N204" t="s">
        <v>64</v>
      </c>
      <c r="O204" t="s">
        <v>548</v>
      </c>
      <c r="P204">
        <v>2.6</v>
      </c>
      <c r="Q204">
        <v>1</v>
      </c>
      <c r="R204">
        <v>0.2</v>
      </c>
      <c r="S204">
        <v>0.28999999999999998</v>
      </c>
    </row>
    <row r="205" spans="1:19" x14ac:dyDescent="0.3">
      <c r="A205" t="s">
        <v>549</v>
      </c>
      <c r="B205">
        <v>2014</v>
      </c>
      <c r="C205" t="s">
        <v>76</v>
      </c>
      <c r="D205" t="s">
        <v>550</v>
      </c>
      <c r="E205">
        <v>4</v>
      </c>
      <c r="F205" t="s">
        <v>20</v>
      </c>
      <c r="G205" t="s">
        <v>551</v>
      </c>
      <c r="H205" t="s">
        <v>22</v>
      </c>
      <c r="I205" t="s">
        <v>23</v>
      </c>
      <c r="J205" t="s">
        <v>552</v>
      </c>
      <c r="K205" t="s">
        <v>86</v>
      </c>
      <c r="L205" t="s">
        <v>87</v>
      </c>
      <c r="M205" t="s">
        <v>40</v>
      </c>
      <c r="N205" t="s">
        <v>64</v>
      </c>
      <c r="O205" t="s">
        <v>553</v>
      </c>
      <c r="P205">
        <v>66.28</v>
      </c>
      <c r="Q205">
        <v>2</v>
      </c>
      <c r="R205">
        <v>0.8</v>
      </c>
      <c r="S205">
        <v>-178.97</v>
      </c>
    </row>
    <row r="206" spans="1:19" x14ac:dyDescent="0.3">
      <c r="A206" s="1">
        <v>41735</v>
      </c>
      <c r="B206">
        <v>2014</v>
      </c>
      <c r="C206" t="s">
        <v>33</v>
      </c>
      <c r="D206" s="1">
        <v>41857</v>
      </c>
      <c r="E206">
        <v>4</v>
      </c>
      <c r="F206" t="s">
        <v>45</v>
      </c>
      <c r="G206" t="s">
        <v>554</v>
      </c>
      <c r="H206" t="s">
        <v>36</v>
      </c>
      <c r="I206" t="s">
        <v>23</v>
      </c>
      <c r="J206" t="s">
        <v>424</v>
      </c>
      <c r="K206" t="s">
        <v>254</v>
      </c>
      <c r="L206" t="s">
        <v>26</v>
      </c>
      <c r="M206" t="s">
        <v>27</v>
      </c>
      <c r="N206" t="s">
        <v>55</v>
      </c>
      <c r="O206" t="s">
        <v>555</v>
      </c>
      <c r="P206">
        <v>35.17</v>
      </c>
      <c r="Q206">
        <v>7</v>
      </c>
      <c r="R206">
        <v>0.2</v>
      </c>
      <c r="S206">
        <v>9.67</v>
      </c>
    </row>
    <row r="207" spans="1:19" x14ac:dyDescent="0.3">
      <c r="A207" s="1">
        <v>41924</v>
      </c>
      <c r="B207">
        <v>2014</v>
      </c>
      <c r="C207" t="s">
        <v>76</v>
      </c>
      <c r="D207" t="s">
        <v>556</v>
      </c>
      <c r="E207">
        <v>5</v>
      </c>
      <c r="F207" t="s">
        <v>45</v>
      </c>
      <c r="G207" t="s">
        <v>557</v>
      </c>
      <c r="H207" t="s">
        <v>22</v>
      </c>
      <c r="I207" t="s">
        <v>23</v>
      </c>
      <c r="J207" t="s">
        <v>558</v>
      </c>
      <c r="K207" t="s">
        <v>38</v>
      </c>
      <c r="L207" t="s">
        <v>39</v>
      </c>
      <c r="M207" t="s">
        <v>59</v>
      </c>
      <c r="N207" t="s">
        <v>60</v>
      </c>
      <c r="O207" t="s">
        <v>559</v>
      </c>
      <c r="P207">
        <v>444.77</v>
      </c>
      <c r="Q207">
        <v>4</v>
      </c>
      <c r="R207">
        <v>0.2</v>
      </c>
      <c r="S207">
        <v>44.48</v>
      </c>
    </row>
    <row r="208" spans="1:19" x14ac:dyDescent="0.3">
      <c r="A208" s="1">
        <v>41682</v>
      </c>
      <c r="B208">
        <v>2014</v>
      </c>
      <c r="C208" t="s">
        <v>76</v>
      </c>
      <c r="D208" s="1">
        <v>41863</v>
      </c>
      <c r="E208">
        <v>6</v>
      </c>
      <c r="F208" t="s">
        <v>45</v>
      </c>
      <c r="G208" t="s">
        <v>560</v>
      </c>
      <c r="H208" t="s">
        <v>22</v>
      </c>
      <c r="I208" t="s">
        <v>23</v>
      </c>
      <c r="J208" t="s">
        <v>561</v>
      </c>
      <c r="K208" t="s">
        <v>188</v>
      </c>
      <c r="L208" t="s">
        <v>87</v>
      </c>
      <c r="M208" t="s">
        <v>40</v>
      </c>
      <c r="N208" t="s">
        <v>51</v>
      </c>
      <c r="O208" t="s">
        <v>562</v>
      </c>
      <c r="P208">
        <v>83.92</v>
      </c>
      <c r="Q208">
        <v>4</v>
      </c>
      <c r="R208">
        <v>0</v>
      </c>
      <c r="S208">
        <v>5.87</v>
      </c>
    </row>
    <row r="209" spans="1:19" x14ac:dyDescent="0.3">
      <c r="A209" s="1">
        <v>41682</v>
      </c>
      <c r="B209">
        <v>2014</v>
      </c>
      <c r="C209" t="s">
        <v>76</v>
      </c>
      <c r="D209" s="1">
        <v>41863</v>
      </c>
      <c r="E209">
        <v>6</v>
      </c>
      <c r="F209" t="s">
        <v>45</v>
      </c>
      <c r="G209" t="s">
        <v>560</v>
      </c>
      <c r="H209" t="s">
        <v>22</v>
      </c>
      <c r="I209" t="s">
        <v>23</v>
      </c>
      <c r="J209" t="s">
        <v>561</v>
      </c>
      <c r="K209" t="s">
        <v>188</v>
      </c>
      <c r="L209" t="s">
        <v>87</v>
      </c>
      <c r="M209" t="s">
        <v>59</v>
      </c>
      <c r="N209" t="s">
        <v>60</v>
      </c>
      <c r="O209" t="s">
        <v>563</v>
      </c>
      <c r="P209">
        <v>131.97999999999999</v>
      </c>
      <c r="Q209">
        <v>2</v>
      </c>
      <c r="R209">
        <v>0</v>
      </c>
      <c r="S209">
        <v>35.630000000000003</v>
      </c>
    </row>
    <row r="210" spans="1:19" x14ac:dyDescent="0.3">
      <c r="A210" s="1">
        <v>41682</v>
      </c>
      <c r="B210">
        <v>2014</v>
      </c>
      <c r="C210" t="s">
        <v>76</v>
      </c>
      <c r="D210" s="1">
        <v>41863</v>
      </c>
      <c r="E210">
        <v>6</v>
      </c>
      <c r="F210" t="s">
        <v>45</v>
      </c>
      <c r="G210" t="s">
        <v>560</v>
      </c>
      <c r="H210" t="s">
        <v>22</v>
      </c>
      <c r="I210" t="s">
        <v>23</v>
      </c>
      <c r="J210" t="s">
        <v>561</v>
      </c>
      <c r="K210" t="s">
        <v>188</v>
      </c>
      <c r="L210" t="s">
        <v>87</v>
      </c>
      <c r="M210" t="s">
        <v>40</v>
      </c>
      <c r="N210" t="s">
        <v>62</v>
      </c>
      <c r="O210" t="s">
        <v>384</v>
      </c>
      <c r="P210">
        <v>15.92</v>
      </c>
      <c r="Q210">
        <v>4</v>
      </c>
      <c r="R210">
        <v>0</v>
      </c>
      <c r="S210">
        <v>7.48</v>
      </c>
    </row>
    <row r="211" spans="1:19" x14ac:dyDescent="0.3">
      <c r="A211" s="1">
        <v>41682</v>
      </c>
      <c r="B211">
        <v>2014</v>
      </c>
      <c r="C211" t="s">
        <v>76</v>
      </c>
      <c r="D211" s="1">
        <v>41863</v>
      </c>
      <c r="E211">
        <v>6</v>
      </c>
      <c r="F211" t="s">
        <v>45</v>
      </c>
      <c r="G211" t="s">
        <v>560</v>
      </c>
      <c r="H211" t="s">
        <v>22</v>
      </c>
      <c r="I211" t="s">
        <v>23</v>
      </c>
      <c r="J211" t="s">
        <v>561</v>
      </c>
      <c r="K211" t="s">
        <v>188</v>
      </c>
      <c r="L211" t="s">
        <v>87</v>
      </c>
      <c r="M211" t="s">
        <v>40</v>
      </c>
      <c r="N211" t="s">
        <v>210</v>
      </c>
      <c r="O211" t="s">
        <v>564</v>
      </c>
      <c r="P211">
        <v>52.29</v>
      </c>
      <c r="Q211">
        <v>9</v>
      </c>
      <c r="R211">
        <v>0</v>
      </c>
      <c r="S211">
        <v>16.21</v>
      </c>
    </row>
    <row r="212" spans="1:19" x14ac:dyDescent="0.3">
      <c r="A212" s="1">
        <v>41682</v>
      </c>
      <c r="B212">
        <v>2014</v>
      </c>
      <c r="C212" t="s">
        <v>76</v>
      </c>
      <c r="D212" s="1">
        <v>41863</v>
      </c>
      <c r="E212">
        <v>6</v>
      </c>
      <c r="F212" t="s">
        <v>45</v>
      </c>
      <c r="G212" t="s">
        <v>560</v>
      </c>
      <c r="H212" t="s">
        <v>22</v>
      </c>
      <c r="I212" t="s">
        <v>23</v>
      </c>
      <c r="J212" t="s">
        <v>561</v>
      </c>
      <c r="K212" t="s">
        <v>188</v>
      </c>
      <c r="L212" t="s">
        <v>87</v>
      </c>
      <c r="M212" t="s">
        <v>40</v>
      </c>
      <c r="N212" t="s">
        <v>51</v>
      </c>
      <c r="O212" t="s">
        <v>565</v>
      </c>
      <c r="P212">
        <v>91.99</v>
      </c>
      <c r="Q212">
        <v>1</v>
      </c>
      <c r="R212">
        <v>0</v>
      </c>
      <c r="S212">
        <v>3.68</v>
      </c>
    </row>
    <row r="213" spans="1:19" x14ac:dyDescent="0.3">
      <c r="A213" s="1">
        <v>41154</v>
      </c>
      <c r="B213">
        <v>2012</v>
      </c>
      <c r="C213" t="s">
        <v>389</v>
      </c>
      <c r="D213" t="s">
        <v>566</v>
      </c>
      <c r="E213">
        <v>4</v>
      </c>
      <c r="F213" t="s">
        <v>20</v>
      </c>
      <c r="G213" t="s">
        <v>567</v>
      </c>
      <c r="H213" t="s">
        <v>36</v>
      </c>
      <c r="I213" t="s">
        <v>23</v>
      </c>
      <c r="J213" t="s">
        <v>552</v>
      </c>
      <c r="K213" t="s">
        <v>86</v>
      </c>
      <c r="L213" t="s">
        <v>87</v>
      </c>
      <c r="M213" t="s">
        <v>59</v>
      </c>
      <c r="N213" t="s">
        <v>133</v>
      </c>
      <c r="O213" t="s">
        <v>568</v>
      </c>
      <c r="P213">
        <v>20.8</v>
      </c>
      <c r="Q213">
        <v>2</v>
      </c>
      <c r="R213">
        <v>0.2</v>
      </c>
      <c r="S213">
        <v>6.5</v>
      </c>
    </row>
    <row r="214" spans="1:19" x14ac:dyDescent="0.3">
      <c r="A214" s="1">
        <v>40940</v>
      </c>
      <c r="B214">
        <v>2012</v>
      </c>
      <c r="C214" t="s">
        <v>129</v>
      </c>
      <c r="D214" s="1">
        <v>41153</v>
      </c>
      <c r="E214">
        <v>7</v>
      </c>
      <c r="F214" t="s">
        <v>45</v>
      </c>
      <c r="G214" t="s">
        <v>569</v>
      </c>
      <c r="H214" t="s">
        <v>36</v>
      </c>
      <c r="I214" t="s">
        <v>23</v>
      </c>
      <c r="J214" t="s">
        <v>570</v>
      </c>
      <c r="K214" t="s">
        <v>357</v>
      </c>
      <c r="L214" t="s">
        <v>121</v>
      </c>
      <c r="M214" t="s">
        <v>40</v>
      </c>
      <c r="N214" t="s">
        <v>41</v>
      </c>
      <c r="O214" t="s">
        <v>571</v>
      </c>
      <c r="P214">
        <v>23.68</v>
      </c>
      <c r="Q214">
        <v>2</v>
      </c>
      <c r="R214">
        <v>0.2</v>
      </c>
      <c r="S214">
        <v>8.8800000000000008</v>
      </c>
    </row>
    <row r="215" spans="1:19" x14ac:dyDescent="0.3">
      <c r="A215" s="1">
        <v>40940</v>
      </c>
      <c r="B215">
        <v>2012</v>
      </c>
      <c r="C215" t="s">
        <v>129</v>
      </c>
      <c r="D215" s="1">
        <v>41153</v>
      </c>
      <c r="E215">
        <v>7</v>
      </c>
      <c r="F215" t="s">
        <v>45</v>
      </c>
      <c r="G215" t="s">
        <v>569</v>
      </c>
      <c r="H215" t="s">
        <v>36</v>
      </c>
      <c r="I215" t="s">
        <v>23</v>
      </c>
      <c r="J215" t="s">
        <v>570</v>
      </c>
      <c r="K215" t="s">
        <v>357</v>
      </c>
      <c r="L215" t="s">
        <v>121</v>
      </c>
      <c r="M215" t="s">
        <v>27</v>
      </c>
      <c r="N215" t="s">
        <v>28</v>
      </c>
      <c r="O215" t="s">
        <v>572</v>
      </c>
      <c r="P215">
        <v>452.45</v>
      </c>
      <c r="Q215">
        <v>5</v>
      </c>
      <c r="R215">
        <v>0.5</v>
      </c>
      <c r="S215">
        <v>-244.32</v>
      </c>
    </row>
    <row r="216" spans="1:19" x14ac:dyDescent="0.3">
      <c r="A216" s="1">
        <v>40940</v>
      </c>
      <c r="B216">
        <v>2012</v>
      </c>
      <c r="C216" t="s">
        <v>129</v>
      </c>
      <c r="D216" s="1">
        <v>41153</v>
      </c>
      <c r="E216">
        <v>7</v>
      </c>
      <c r="F216" t="s">
        <v>45</v>
      </c>
      <c r="G216" t="s">
        <v>569</v>
      </c>
      <c r="H216" t="s">
        <v>36</v>
      </c>
      <c r="I216" t="s">
        <v>23</v>
      </c>
      <c r="J216" t="s">
        <v>570</v>
      </c>
      <c r="K216" t="s">
        <v>357</v>
      </c>
      <c r="L216" t="s">
        <v>121</v>
      </c>
      <c r="M216" t="s">
        <v>59</v>
      </c>
      <c r="N216" t="s">
        <v>60</v>
      </c>
      <c r="O216" t="s">
        <v>338</v>
      </c>
      <c r="P216">
        <v>62.98</v>
      </c>
      <c r="Q216">
        <v>3</v>
      </c>
      <c r="R216">
        <v>0.4</v>
      </c>
      <c r="S216">
        <v>-14.7</v>
      </c>
    </row>
    <row r="217" spans="1:19" x14ac:dyDescent="0.3">
      <c r="A217" s="1">
        <v>40940</v>
      </c>
      <c r="B217">
        <v>2012</v>
      </c>
      <c r="C217" t="s">
        <v>129</v>
      </c>
      <c r="D217" s="1">
        <v>41153</v>
      </c>
      <c r="E217">
        <v>7</v>
      </c>
      <c r="F217" t="s">
        <v>45</v>
      </c>
      <c r="G217" t="s">
        <v>569</v>
      </c>
      <c r="H217" t="s">
        <v>36</v>
      </c>
      <c r="I217" t="s">
        <v>23</v>
      </c>
      <c r="J217" t="s">
        <v>570</v>
      </c>
      <c r="K217" t="s">
        <v>357</v>
      </c>
      <c r="L217" t="s">
        <v>121</v>
      </c>
      <c r="M217" t="s">
        <v>59</v>
      </c>
      <c r="N217" t="s">
        <v>465</v>
      </c>
      <c r="O217" t="s">
        <v>573</v>
      </c>
      <c r="P217">
        <v>1188</v>
      </c>
      <c r="Q217">
        <v>9</v>
      </c>
      <c r="R217">
        <v>0.7</v>
      </c>
      <c r="S217">
        <v>-950.4</v>
      </c>
    </row>
    <row r="218" spans="1:19" x14ac:dyDescent="0.3">
      <c r="A218" s="1">
        <v>40940</v>
      </c>
      <c r="B218">
        <v>2012</v>
      </c>
      <c r="C218" t="s">
        <v>129</v>
      </c>
      <c r="D218" s="1">
        <v>41153</v>
      </c>
      <c r="E218">
        <v>7</v>
      </c>
      <c r="F218" t="s">
        <v>45</v>
      </c>
      <c r="G218" t="s">
        <v>569</v>
      </c>
      <c r="H218" t="s">
        <v>36</v>
      </c>
      <c r="I218" t="s">
        <v>23</v>
      </c>
      <c r="J218" t="s">
        <v>570</v>
      </c>
      <c r="K218" t="s">
        <v>357</v>
      </c>
      <c r="L218" t="s">
        <v>121</v>
      </c>
      <c r="M218" t="s">
        <v>59</v>
      </c>
      <c r="N218" t="s">
        <v>133</v>
      </c>
      <c r="O218" t="s">
        <v>574</v>
      </c>
      <c r="P218">
        <v>89.58</v>
      </c>
      <c r="Q218">
        <v>2</v>
      </c>
      <c r="R218">
        <v>0.2</v>
      </c>
      <c r="S218">
        <v>4.4800000000000004</v>
      </c>
    </row>
    <row r="219" spans="1:19" x14ac:dyDescent="0.3">
      <c r="A219" t="s">
        <v>575</v>
      </c>
      <c r="B219">
        <v>2013</v>
      </c>
      <c r="C219" t="s">
        <v>43</v>
      </c>
      <c r="D219" s="1">
        <v>41316</v>
      </c>
      <c r="E219">
        <v>4</v>
      </c>
      <c r="F219" t="s">
        <v>45</v>
      </c>
      <c r="G219" t="s">
        <v>576</v>
      </c>
      <c r="H219" t="s">
        <v>22</v>
      </c>
      <c r="I219" t="s">
        <v>23</v>
      </c>
      <c r="J219" t="s">
        <v>37</v>
      </c>
      <c r="K219" t="s">
        <v>38</v>
      </c>
      <c r="L219" t="s">
        <v>39</v>
      </c>
      <c r="M219" t="s">
        <v>40</v>
      </c>
      <c r="N219" t="s">
        <v>51</v>
      </c>
      <c r="O219" t="s">
        <v>516</v>
      </c>
      <c r="P219">
        <v>93.06</v>
      </c>
      <c r="Q219">
        <v>6</v>
      </c>
      <c r="R219">
        <v>0</v>
      </c>
      <c r="S219">
        <v>26.06</v>
      </c>
    </row>
    <row r="220" spans="1:19" x14ac:dyDescent="0.3">
      <c r="A220" t="s">
        <v>575</v>
      </c>
      <c r="B220">
        <v>2013</v>
      </c>
      <c r="C220" t="s">
        <v>43</v>
      </c>
      <c r="D220" s="1">
        <v>41316</v>
      </c>
      <c r="E220">
        <v>4</v>
      </c>
      <c r="F220" t="s">
        <v>45</v>
      </c>
      <c r="G220" t="s">
        <v>576</v>
      </c>
      <c r="H220" t="s">
        <v>22</v>
      </c>
      <c r="I220" t="s">
        <v>23</v>
      </c>
      <c r="J220" t="s">
        <v>37</v>
      </c>
      <c r="K220" t="s">
        <v>38</v>
      </c>
      <c r="L220" t="s">
        <v>39</v>
      </c>
      <c r="M220" t="s">
        <v>59</v>
      </c>
      <c r="N220" t="s">
        <v>60</v>
      </c>
      <c r="O220" t="s">
        <v>577</v>
      </c>
      <c r="P220">
        <v>302.38</v>
      </c>
      <c r="Q220">
        <v>3</v>
      </c>
      <c r="R220">
        <v>0.2</v>
      </c>
      <c r="S220">
        <v>22.68</v>
      </c>
    </row>
    <row r="221" spans="1:19" x14ac:dyDescent="0.3">
      <c r="A221" t="s">
        <v>578</v>
      </c>
      <c r="B221">
        <v>2012</v>
      </c>
      <c r="C221" t="s">
        <v>76</v>
      </c>
      <c r="D221" t="s">
        <v>156</v>
      </c>
      <c r="E221">
        <v>3</v>
      </c>
      <c r="F221" t="s">
        <v>151</v>
      </c>
      <c r="G221" t="s">
        <v>579</v>
      </c>
      <c r="H221" t="s">
        <v>22</v>
      </c>
      <c r="I221" t="s">
        <v>23</v>
      </c>
      <c r="J221" t="s">
        <v>580</v>
      </c>
      <c r="K221" t="s">
        <v>357</v>
      </c>
      <c r="L221" t="s">
        <v>121</v>
      </c>
      <c r="M221" t="s">
        <v>40</v>
      </c>
      <c r="N221" t="s">
        <v>210</v>
      </c>
      <c r="O221" t="s">
        <v>581</v>
      </c>
      <c r="P221">
        <v>5.58</v>
      </c>
      <c r="Q221">
        <v>2</v>
      </c>
      <c r="R221">
        <v>0.2</v>
      </c>
      <c r="S221">
        <v>1.81</v>
      </c>
    </row>
    <row r="222" spans="1:19" x14ac:dyDescent="0.3">
      <c r="A222" t="s">
        <v>578</v>
      </c>
      <c r="B222">
        <v>2012</v>
      </c>
      <c r="C222" t="s">
        <v>76</v>
      </c>
      <c r="D222" t="s">
        <v>156</v>
      </c>
      <c r="E222">
        <v>3</v>
      </c>
      <c r="F222" t="s">
        <v>151</v>
      </c>
      <c r="G222" t="s">
        <v>579</v>
      </c>
      <c r="H222" t="s">
        <v>22</v>
      </c>
      <c r="I222" t="s">
        <v>23</v>
      </c>
      <c r="J222" t="s">
        <v>580</v>
      </c>
      <c r="K222" t="s">
        <v>357</v>
      </c>
      <c r="L222" t="s">
        <v>121</v>
      </c>
      <c r="M222" t="s">
        <v>40</v>
      </c>
      <c r="N222" t="s">
        <v>74</v>
      </c>
      <c r="O222" t="s">
        <v>582</v>
      </c>
      <c r="P222">
        <v>22.7</v>
      </c>
      <c r="Q222">
        <v>6</v>
      </c>
      <c r="R222">
        <v>0.2</v>
      </c>
      <c r="S222">
        <v>8.23</v>
      </c>
    </row>
    <row r="223" spans="1:19" x14ac:dyDescent="0.3">
      <c r="A223" t="s">
        <v>578</v>
      </c>
      <c r="B223">
        <v>2012</v>
      </c>
      <c r="C223" t="s">
        <v>76</v>
      </c>
      <c r="D223" t="s">
        <v>156</v>
      </c>
      <c r="E223">
        <v>3</v>
      </c>
      <c r="F223" t="s">
        <v>151</v>
      </c>
      <c r="G223" t="s">
        <v>579</v>
      </c>
      <c r="H223" t="s">
        <v>22</v>
      </c>
      <c r="I223" t="s">
        <v>23</v>
      </c>
      <c r="J223" t="s">
        <v>580</v>
      </c>
      <c r="K223" t="s">
        <v>357</v>
      </c>
      <c r="L223" t="s">
        <v>121</v>
      </c>
      <c r="M223" t="s">
        <v>40</v>
      </c>
      <c r="N223" t="s">
        <v>62</v>
      </c>
      <c r="O223" t="s">
        <v>303</v>
      </c>
      <c r="P223">
        <v>19.78</v>
      </c>
      <c r="Q223">
        <v>4</v>
      </c>
      <c r="R223">
        <v>0.7</v>
      </c>
      <c r="S223">
        <v>-13.84</v>
      </c>
    </row>
    <row r="224" spans="1:19" x14ac:dyDescent="0.3">
      <c r="A224" t="s">
        <v>578</v>
      </c>
      <c r="B224">
        <v>2012</v>
      </c>
      <c r="C224" t="s">
        <v>76</v>
      </c>
      <c r="D224" t="s">
        <v>156</v>
      </c>
      <c r="E224">
        <v>3</v>
      </c>
      <c r="F224" t="s">
        <v>151</v>
      </c>
      <c r="G224" t="s">
        <v>579</v>
      </c>
      <c r="H224" t="s">
        <v>22</v>
      </c>
      <c r="I224" t="s">
        <v>23</v>
      </c>
      <c r="J224" t="s">
        <v>580</v>
      </c>
      <c r="K224" t="s">
        <v>357</v>
      </c>
      <c r="L224" t="s">
        <v>121</v>
      </c>
      <c r="M224" t="s">
        <v>27</v>
      </c>
      <c r="N224" t="s">
        <v>55</v>
      </c>
      <c r="O224" t="s">
        <v>583</v>
      </c>
      <c r="P224">
        <v>72.7</v>
      </c>
      <c r="Q224">
        <v>4</v>
      </c>
      <c r="R224">
        <v>0.2</v>
      </c>
      <c r="S224">
        <v>19.079999999999998</v>
      </c>
    </row>
    <row r="225" spans="1:19" x14ac:dyDescent="0.3">
      <c r="A225" t="s">
        <v>578</v>
      </c>
      <c r="B225">
        <v>2012</v>
      </c>
      <c r="C225" t="s">
        <v>76</v>
      </c>
      <c r="D225" t="s">
        <v>156</v>
      </c>
      <c r="E225">
        <v>3</v>
      </c>
      <c r="F225" t="s">
        <v>151</v>
      </c>
      <c r="G225" t="s">
        <v>579</v>
      </c>
      <c r="H225" t="s">
        <v>22</v>
      </c>
      <c r="I225" t="s">
        <v>23</v>
      </c>
      <c r="J225" t="s">
        <v>580</v>
      </c>
      <c r="K225" t="s">
        <v>357</v>
      </c>
      <c r="L225" t="s">
        <v>121</v>
      </c>
      <c r="M225" t="s">
        <v>59</v>
      </c>
      <c r="N225" t="s">
        <v>465</v>
      </c>
      <c r="O225" t="s">
        <v>584</v>
      </c>
      <c r="P225">
        <v>479.99</v>
      </c>
      <c r="Q225">
        <v>4</v>
      </c>
      <c r="R225">
        <v>0.7</v>
      </c>
      <c r="S225">
        <v>-383.99</v>
      </c>
    </row>
    <row r="226" spans="1:19" x14ac:dyDescent="0.3">
      <c r="A226" t="s">
        <v>578</v>
      </c>
      <c r="B226">
        <v>2012</v>
      </c>
      <c r="C226" t="s">
        <v>76</v>
      </c>
      <c r="D226" t="s">
        <v>156</v>
      </c>
      <c r="E226">
        <v>3</v>
      </c>
      <c r="F226" t="s">
        <v>151</v>
      </c>
      <c r="G226" t="s">
        <v>579</v>
      </c>
      <c r="H226" t="s">
        <v>22</v>
      </c>
      <c r="I226" t="s">
        <v>23</v>
      </c>
      <c r="J226" t="s">
        <v>580</v>
      </c>
      <c r="K226" t="s">
        <v>357</v>
      </c>
      <c r="L226" t="s">
        <v>121</v>
      </c>
      <c r="M226" t="s">
        <v>40</v>
      </c>
      <c r="N226" t="s">
        <v>57</v>
      </c>
      <c r="O226" t="s">
        <v>585</v>
      </c>
      <c r="P226">
        <v>27.17</v>
      </c>
      <c r="Q226">
        <v>2</v>
      </c>
      <c r="R226">
        <v>0.2</v>
      </c>
      <c r="S226">
        <v>2.72</v>
      </c>
    </row>
    <row r="227" spans="1:19" x14ac:dyDescent="0.3">
      <c r="A227" s="1">
        <v>41160</v>
      </c>
      <c r="B227">
        <v>2012</v>
      </c>
      <c r="C227" t="s">
        <v>103</v>
      </c>
      <c r="D227" t="s">
        <v>586</v>
      </c>
      <c r="E227">
        <v>7</v>
      </c>
      <c r="F227" t="s">
        <v>45</v>
      </c>
      <c r="G227" t="s">
        <v>587</v>
      </c>
      <c r="H227" t="s">
        <v>36</v>
      </c>
      <c r="I227" t="s">
        <v>23</v>
      </c>
      <c r="J227" t="s">
        <v>588</v>
      </c>
      <c r="K227" t="s">
        <v>188</v>
      </c>
      <c r="L227" t="s">
        <v>87</v>
      </c>
      <c r="M227" t="s">
        <v>40</v>
      </c>
      <c r="N227" t="s">
        <v>57</v>
      </c>
      <c r="O227" t="s">
        <v>589</v>
      </c>
      <c r="P227">
        <v>2.2000000000000002</v>
      </c>
      <c r="Q227">
        <v>1</v>
      </c>
      <c r="R227">
        <v>0</v>
      </c>
      <c r="S227">
        <v>0.97</v>
      </c>
    </row>
    <row r="228" spans="1:19" x14ac:dyDescent="0.3">
      <c r="A228" s="1">
        <v>41160</v>
      </c>
      <c r="B228">
        <v>2012</v>
      </c>
      <c r="C228" t="s">
        <v>103</v>
      </c>
      <c r="D228" t="s">
        <v>586</v>
      </c>
      <c r="E228">
        <v>7</v>
      </c>
      <c r="F228" t="s">
        <v>45</v>
      </c>
      <c r="G228" t="s">
        <v>587</v>
      </c>
      <c r="H228" t="s">
        <v>36</v>
      </c>
      <c r="I228" t="s">
        <v>23</v>
      </c>
      <c r="J228" t="s">
        <v>588</v>
      </c>
      <c r="K228" t="s">
        <v>188</v>
      </c>
      <c r="L228" t="s">
        <v>87</v>
      </c>
      <c r="M228" t="s">
        <v>27</v>
      </c>
      <c r="N228" t="s">
        <v>49</v>
      </c>
      <c r="O228" t="s">
        <v>590</v>
      </c>
      <c r="P228">
        <v>622.45000000000005</v>
      </c>
      <c r="Q228">
        <v>5</v>
      </c>
      <c r="R228">
        <v>0</v>
      </c>
      <c r="S228">
        <v>136.94</v>
      </c>
    </row>
    <row r="229" spans="1:19" x14ac:dyDescent="0.3">
      <c r="A229" s="1">
        <v>41160</v>
      </c>
      <c r="B229">
        <v>2012</v>
      </c>
      <c r="C229" t="s">
        <v>103</v>
      </c>
      <c r="D229" t="s">
        <v>586</v>
      </c>
      <c r="E229">
        <v>7</v>
      </c>
      <c r="F229" t="s">
        <v>45</v>
      </c>
      <c r="G229" t="s">
        <v>587</v>
      </c>
      <c r="H229" t="s">
        <v>36</v>
      </c>
      <c r="I229" t="s">
        <v>23</v>
      </c>
      <c r="J229" t="s">
        <v>588</v>
      </c>
      <c r="K229" t="s">
        <v>188</v>
      </c>
      <c r="L229" t="s">
        <v>87</v>
      </c>
      <c r="M229" t="s">
        <v>40</v>
      </c>
      <c r="N229" t="s">
        <v>51</v>
      </c>
      <c r="O229" t="s">
        <v>591</v>
      </c>
      <c r="P229">
        <v>21.98</v>
      </c>
      <c r="Q229">
        <v>1</v>
      </c>
      <c r="R229">
        <v>0</v>
      </c>
      <c r="S229">
        <v>0.22</v>
      </c>
    </row>
    <row r="230" spans="1:19" x14ac:dyDescent="0.3">
      <c r="A230" t="s">
        <v>592</v>
      </c>
      <c r="B230">
        <v>2012</v>
      </c>
      <c r="C230" t="s">
        <v>389</v>
      </c>
      <c r="D230" s="1">
        <v>41002</v>
      </c>
      <c r="E230">
        <v>5</v>
      </c>
      <c r="F230" t="s">
        <v>45</v>
      </c>
      <c r="G230" t="s">
        <v>593</v>
      </c>
      <c r="H230" t="s">
        <v>22</v>
      </c>
      <c r="I230" t="s">
        <v>23</v>
      </c>
      <c r="J230" t="s">
        <v>283</v>
      </c>
      <c r="K230" t="s">
        <v>254</v>
      </c>
      <c r="L230" t="s">
        <v>26</v>
      </c>
      <c r="M230" t="s">
        <v>27</v>
      </c>
      <c r="N230" t="s">
        <v>30</v>
      </c>
      <c r="O230" t="s">
        <v>594</v>
      </c>
      <c r="P230">
        <v>161.57</v>
      </c>
      <c r="Q230">
        <v>2</v>
      </c>
      <c r="R230">
        <v>0.2</v>
      </c>
      <c r="S230">
        <v>-28.27</v>
      </c>
    </row>
    <row r="231" spans="1:19" x14ac:dyDescent="0.3">
      <c r="A231" t="s">
        <v>592</v>
      </c>
      <c r="B231">
        <v>2012</v>
      </c>
      <c r="C231" t="s">
        <v>389</v>
      </c>
      <c r="D231" s="1">
        <v>41002</v>
      </c>
      <c r="E231">
        <v>5</v>
      </c>
      <c r="F231" t="s">
        <v>45</v>
      </c>
      <c r="G231" t="s">
        <v>593</v>
      </c>
      <c r="H231" t="s">
        <v>22</v>
      </c>
      <c r="I231" t="s">
        <v>23</v>
      </c>
      <c r="J231" t="s">
        <v>283</v>
      </c>
      <c r="K231" t="s">
        <v>254</v>
      </c>
      <c r="L231" t="s">
        <v>26</v>
      </c>
      <c r="M231" t="s">
        <v>27</v>
      </c>
      <c r="N231" t="s">
        <v>30</v>
      </c>
      <c r="O231" t="s">
        <v>595</v>
      </c>
      <c r="P231">
        <v>389.7</v>
      </c>
      <c r="Q231">
        <v>8</v>
      </c>
      <c r="R231">
        <v>0.2</v>
      </c>
      <c r="S231">
        <v>43.84</v>
      </c>
    </row>
    <row r="232" spans="1:19" x14ac:dyDescent="0.3">
      <c r="A232" t="s">
        <v>596</v>
      </c>
      <c r="B232">
        <v>2011</v>
      </c>
      <c r="C232" t="s">
        <v>124</v>
      </c>
      <c r="D232" t="s">
        <v>597</v>
      </c>
      <c r="E232">
        <v>4</v>
      </c>
      <c r="F232" t="s">
        <v>45</v>
      </c>
      <c r="G232" t="s">
        <v>598</v>
      </c>
      <c r="H232" t="s">
        <v>36</v>
      </c>
      <c r="I232" t="s">
        <v>23</v>
      </c>
      <c r="J232" t="s">
        <v>336</v>
      </c>
      <c r="K232" t="s">
        <v>73</v>
      </c>
      <c r="L232" t="s">
        <v>26</v>
      </c>
      <c r="M232" t="s">
        <v>40</v>
      </c>
      <c r="N232" t="s">
        <v>62</v>
      </c>
      <c r="O232" t="s">
        <v>599</v>
      </c>
      <c r="P232">
        <v>18.649999999999999</v>
      </c>
      <c r="Q232">
        <v>7</v>
      </c>
      <c r="R232">
        <v>0.7</v>
      </c>
      <c r="S232">
        <v>-12.43</v>
      </c>
    </row>
    <row r="233" spans="1:19" x14ac:dyDescent="0.3">
      <c r="A233" s="1">
        <v>41855</v>
      </c>
      <c r="B233">
        <v>2014</v>
      </c>
      <c r="C233" t="s">
        <v>69</v>
      </c>
      <c r="D233" t="s">
        <v>600</v>
      </c>
      <c r="E233">
        <v>5</v>
      </c>
      <c r="F233" t="s">
        <v>45</v>
      </c>
      <c r="G233" t="s">
        <v>279</v>
      </c>
      <c r="H233" t="s">
        <v>84</v>
      </c>
      <c r="I233" t="s">
        <v>23</v>
      </c>
      <c r="J233" t="s">
        <v>601</v>
      </c>
      <c r="K233" t="s">
        <v>48</v>
      </c>
      <c r="L233" t="s">
        <v>26</v>
      </c>
      <c r="M233" t="s">
        <v>27</v>
      </c>
      <c r="N233" t="s">
        <v>49</v>
      </c>
      <c r="O233" t="s">
        <v>602</v>
      </c>
      <c r="P233">
        <v>233.86</v>
      </c>
      <c r="Q233">
        <v>2</v>
      </c>
      <c r="R233">
        <v>0.45</v>
      </c>
      <c r="S233">
        <v>-102.05</v>
      </c>
    </row>
    <row r="234" spans="1:19" x14ac:dyDescent="0.3">
      <c r="A234" s="1">
        <v>41855</v>
      </c>
      <c r="B234">
        <v>2014</v>
      </c>
      <c r="C234" t="s">
        <v>69</v>
      </c>
      <c r="D234" t="s">
        <v>600</v>
      </c>
      <c r="E234">
        <v>5</v>
      </c>
      <c r="F234" t="s">
        <v>45</v>
      </c>
      <c r="G234" t="s">
        <v>279</v>
      </c>
      <c r="H234" t="s">
        <v>84</v>
      </c>
      <c r="I234" t="s">
        <v>23</v>
      </c>
      <c r="J234" t="s">
        <v>601</v>
      </c>
      <c r="K234" t="s">
        <v>48</v>
      </c>
      <c r="L234" t="s">
        <v>26</v>
      </c>
      <c r="M234" t="s">
        <v>27</v>
      </c>
      <c r="N234" t="s">
        <v>49</v>
      </c>
      <c r="O234" t="s">
        <v>603</v>
      </c>
      <c r="P234">
        <v>620.61</v>
      </c>
      <c r="Q234">
        <v>3</v>
      </c>
      <c r="R234">
        <v>0.45</v>
      </c>
      <c r="S234">
        <v>-248.25</v>
      </c>
    </row>
    <row r="235" spans="1:19" x14ac:dyDescent="0.3">
      <c r="A235" s="1">
        <v>41855</v>
      </c>
      <c r="B235">
        <v>2014</v>
      </c>
      <c r="C235" t="s">
        <v>69</v>
      </c>
      <c r="D235" t="s">
        <v>600</v>
      </c>
      <c r="E235">
        <v>5</v>
      </c>
      <c r="F235" t="s">
        <v>45</v>
      </c>
      <c r="G235" t="s">
        <v>279</v>
      </c>
      <c r="H235" t="s">
        <v>84</v>
      </c>
      <c r="I235" t="s">
        <v>23</v>
      </c>
      <c r="J235" t="s">
        <v>601</v>
      </c>
      <c r="K235" t="s">
        <v>48</v>
      </c>
      <c r="L235" t="s">
        <v>26</v>
      </c>
      <c r="M235" t="s">
        <v>40</v>
      </c>
      <c r="N235" t="s">
        <v>62</v>
      </c>
      <c r="O235" t="s">
        <v>599</v>
      </c>
      <c r="P235">
        <v>5.33</v>
      </c>
      <c r="Q235">
        <v>2</v>
      </c>
      <c r="R235">
        <v>0.7</v>
      </c>
      <c r="S235">
        <v>-3.55</v>
      </c>
    </row>
    <row r="236" spans="1:19" x14ac:dyDescent="0.3">
      <c r="A236" s="1">
        <v>41855</v>
      </c>
      <c r="B236">
        <v>2014</v>
      </c>
      <c r="C236" t="s">
        <v>69</v>
      </c>
      <c r="D236" t="s">
        <v>600</v>
      </c>
      <c r="E236">
        <v>5</v>
      </c>
      <c r="F236" t="s">
        <v>45</v>
      </c>
      <c r="G236" t="s">
        <v>279</v>
      </c>
      <c r="H236" t="s">
        <v>84</v>
      </c>
      <c r="I236" t="s">
        <v>23</v>
      </c>
      <c r="J236" t="s">
        <v>601</v>
      </c>
      <c r="K236" t="s">
        <v>48</v>
      </c>
      <c r="L236" t="s">
        <v>26</v>
      </c>
      <c r="M236" t="s">
        <v>27</v>
      </c>
      <c r="N236" t="s">
        <v>55</v>
      </c>
      <c r="O236" t="s">
        <v>604</v>
      </c>
      <c r="P236">
        <v>258.07</v>
      </c>
      <c r="Q236">
        <v>3</v>
      </c>
      <c r="R236">
        <v>0.2</v>
      </c>
      <c r="S236">
        <v>0</v>
      </c>
    </row>
    <row r="237" spans="1:19" x14ac:dyDescent="0.3">
      <c r="A237" s="1">
        <v>41855</v>
      </c>
      <c r="B237">
        <v>2014</v>
      </c>
      <c r="C237" t="s">
        <v>69</v>
      </c>
      <c r="D237" t="s">
        <v>600</v>
      </c>
      <c r="E237">
        <v>5</v>
      </c>
      <c r="F237" t="s">
        <v>45</v>
      </c>
      <c r="G237" t="s">
        <v>279</v>
      </c>
      <c r="H237" t="s">
        <v>84</v>
      </c>
      <c r="I237" t="s">
        <v>23</v>
      </c>
      <c r="J237" t="s">
        <v>601</v>
      </c>
      <c r="K237" t="s">
        <v>48</v>
      </c>
      <c r="L237" t="s">
        <v>26</v>
      </c>
      <c r="M237" t="s">
        <v>59</v>
      </c>
      <c r="N237" t="s">
        <v>133</v>
      </c>
      <c r="O237" t="s">
        <v>605</v>
      </c>
      <c r="P237">
        <v>617.98</v>
      </c>
      <c r="Q237">
        <v>3</v>
      </c>
      <c r="R237">
        <v>0.2</v>
      </c>
      <c r="S237">
        <v>-7.72</v>
      </c>
    </row>
    <row r="238" spans="1:19" x14ac:dyDescent="0.3">
      <c r="A238" t="s">
        <v>304</v>
      </c>
      <c r="B238">
        <v>2014</v>
      </c>
      <c r="C238" t="s">
        <v>19</v>
      </c>
      <c r="D238" t="s">
        <v>278</v>
      </c>
      <c r="E238">
        <v>4</v>
      </c>
      <c r="F238" t="s">
        <v>45</v>
      </c>
      <c r="G238" t="s">
        <v>606</v>
      </c>
      <c r="H238" t="s">
        <v>36</v>
      </c>
      <c r="I238" t="s">
        <v>23</v>
      </c>
      <c r="J238" t="s">
        <v>607</v>
      </c>
      <c r="K238" t="s">
        <v>38</v>
      </c>
      <c r="L238" t="s">
        <v>39</v>
      </c>
      <c r="M238" t="s">
        <v>40</v>
      </c>
      <c r="N238" t="s">
        <v>74</v>
      </c>
      <c r="O238" t="s">
        <v>608</v>
      </c>
      <c r="P238">
        <v>10.56</v>
      </c>
      <c r="Q238">
        <v>2</v>
      </c>
      <c r="R238">
        <v>0</v>
      </c>
      <c r="S238">
        <v>4.75</v>
      </c>
    </row>
    <row r="239" spans="1:19" x14ac:dyDescent="0.3">
      <c r="A239" s="1">
        <v>41400</v>
      </c>
      <c r="B239">
        <v>2013</v>
      </c>
      <c r="C239" t="s">
        <v>33</v>
      </c>
      <c r="D239" s="1">
        <v>41553</v>
      </c>
      <c r="E239">
        <v>5</v>
      </c>
      <c r="F239" t="s">
        <v>20</v>
      </c>
      <c r="G239" t="s">
        <v>609</v>
      </c>
      <c r="H239" t="s">
        <v>22</v>
      </c>
      <c r="I239" t="s">
        <v>23</v>
      </c>
      <c r="J239" t="s">
        <v>232</v>
      </c>
      <c r="K239" t="s">
        <v>166</v>
      </c>
      <c r="L239" t="s">
        <v>87</v>
      </c>
      <c r="M239" t="s">
        <v>40</v>
      </c>
      <c r="N239" t="s">
        <v>74</v>
      </c>
      <c r="O239" t="s">
        <v>610</v>
      </c>
      <c r="P239">
        <v>25.92</v>
      </c>
      <c r="Q239">
        <v>5</v>
      </c>
      <c r="R239">
        <v>0.2</v>
      </c>
      <c r="S239">
        <v>9.4</v>
      </c>
    </row>
    <row r="240" spans="1:19" x14ac:dyDescent="0.3">
      <c r="A240" s="1">
        <v>41400</v>
      </c>
      <c r="B240">
        <v>2013</v>
      </c>
      <c r="C240" t="s">
        <v>33</v>
      </c>
      <c r="D240" s="1">
        <v>41553</v>
      </c>
      <c r="E240">
        <v>5</v>
      </c>
      <c r="F240" t="s">
        <v>20</v>
      </c>
      <c r="G240" t="s">
        <v>609</v>
      </c>
      <c r="H240" t="s">
        <v>22</v>
      </c>
      <c r="I240" t="s">
        <v>23</v>
      </c>
      <c r="J240" t="s">
        <v>232</v>
      </c>
      <c r="K240" t="s">
        <v>166</v>
      </c>
      <c r="L240" t="s">
        <v>87</v>
      </c>
      <c r="M240" t="s">
        <v>27</v>
      </c>
      <c r="N240" t="s">
        <v>55</v>
      </c>
      <c r="O240" t="s">
        <v>611</v>
      </c>
      <c r="P240">
        <v>419.68</v>
      </c>
      <c r="Q240">
        <v>5</v>
      </c>
      <c r="R240">
        <v>0.6</v>
      </c>
      <c r="S240">
        <v>-356.73</v>
      </c>
    </row>
    <row r="241" spans="1:19" x14ac:dyDescent="0.3">
      <c r="A241" s="1">
        <v>41400</v>
      </c>
      <c r="B241">
        <v>2013</v>
      </c>
      <c r="C241" t="s">
        <v>33</v>
      </c>
      <c r="D241" s="1">
        <v>41553</v>
      </c>
      <c r="E241">
        <v>5</v>
      </c>
      <c r="F241" t="s">
        <v>20</v>
      </c>
      <c r="G241" t="s">
        <v>609</v>
      </c>
      <c r="H241" t="s">
        <v>22</v>
      </c>
      <c r="I241" t="s">
        <v>23</v>
      </c>
      <c r="J241" t="s">
        <v>232</v>
      </c>
      <c r="K241" t="s">
        <v>166</v>
      </c>
      <c r="L241" t="s">
        <v>87</v>
      </c>
      <c r="M241" t="s">
        <v>27</v>
      </c>
      <c r="N241" t="s">
        <v>55</v>
      </c>
      <c r="O241" t="s">
        <v>150</v>
      </c>
      <c r="P241">
        <v>11.69</v>
      </c>
      <c r="Q241">
        <v>3</v>
      </c>
      <c r="R241">
        <v>0.6</v>
      </c>
      <c r="S241">
        <v>-4.68</v>
      </c>
    </row>
    <row r="242" spans="1:19" x14ac:dyDescent="0.3">
      <c r="A242" s="1">
        <v>41400</v>
      </c>
      <c r="B242">
        <v>2013</v>
      </c>
      <c r="C242" t="s">
        <v>33</v>
      </c>
      <c r="D242" s="1">
        <v>41553</v>
      </c>
      <c r="E242">
        <v>5</v>
      </c>
      <c r="F242" t="s">
        <v>20</v>
      </c>
      <c r="G242" t="s">
        <v>609</v>
      </c>
      <c r="H242" t="s">
        <v>22</v>
      </c>
      <c r="I242" t="s">
        <v>23</v>
      </c>
      <c r="J242" t="s">
        <v>232</v>
      </c>
      <c r="K242" t="s">
        <v>166</v>
      </c>
      <c r="L242" t="s">
        <v>87</v>
      </c>
      <c r="M242" t="s">
        <v>59</v>
      </c>
      <c r="N242" t="s">
        <v>60</v>
      </c>
      <c r="O242" t="s">
        <v>612</v>
      </c>
      <c r="P242">
        <v>31.98</v>
      </c>
      <c r="Q242">
        <v>2</v>
      </c>
      <c r="R242">
        <v>0.2</v>
      </c>
      <c r="S242">
        <v>11.19</v>
      </c>
    </row>
    <row r="243" spans="1:19" x14ac:dyDescent="0.3">
      <c r="A243" s="1">
        <v>41400</v>
      </c>
      <c r="B243">
        <v>2013</v>
      </c>
      <c r="C243" t="s">
        <v>33</v>
      </c>
      <c r="D243" s="1">
        <v>41553</v>
      </c>
      <c r="E243">
        <v>5</v>
      </c>
      <c r="F243" t="s">
        <v>20</v>
      </c>
      <c r="G243" t="s">
        <v>609</v>
      </c>
      <c r="H243" t="s">
        <v>22</v>
      </c>
      <c r="I243" t="s">
        <v>23</v>
      </c>
      <c r="J243" t="s">
        <v>232</v>
      </c>
      <c r="K243" t="s">
        <v>166</v>
      </c>
      <c r="L243" t="s">
        <v>87</v>
      </c>
      <c r="M243" t="s">
        <v>27</v>
      </c>
      <c r="N243" t="s">
        <v>49</v>
      </c>
      <c r="O243" t="s">
        <v>613</v>
      </c>
      <c r="P243">
        <v>177.23</v>
      </c>
      <c r="Q243">
        <v>5</v>
      </c>
      <c r="R243">
        <v>0.5</v>
      </c>
      <c r="S243">
        <v>-120.51</v>
      </c>
    </row>
    <row r="244" spans="1:19" x14ac:dyDescent="0.3">
      <c r="A244" s="1">
        <v>41400</v>
      </c>
      <c r="B244">
        <v>2013</v>
      </c>
      <c r="C244" t="s">
        <v>33</v>
      </c>
      <c r="D244" s="1">
        <v>41553</v>
      </c>
      <c r="E244">
        <v>5</v>
      </c>
      <c r="F244" t="s">
        <v>20</v>
      </c>
      <c r="G244" t="s">
        <v>609</v>
      </c>
      <c r="H244" t="s">
        <v>22</v>
      </c>
      <c r="I244" t="s">
        <v>23</v>
      </c>
      <c r="J244" t="s">
        <v>232</v>
      </c>
      <c r="K244" t="s">
        <v>166</v>
      </c>
      <c r="L244" t="s">
        <v>87</v>
      </c>
      <c r="M244" t="s">
        <v>27</v>
      </c>
      <c r="N244" t="s">
        <v>55</v>
      </c>
      <c r="O244" t="s">
        <v>614</v>
      </c>
      <c r="P244">
        <v>4.04</v>
      </c>
      <c r="Q244">
        <v>3</v>
      </c>
      <c r="R244">
        <v>0.6</v>
      </c>
      <c r="S244">
        <v>-2.83</v>
      </c>
    </row>
    <row r="245" spans="1:19" x14ac:dyDescent="0.3">
      <c r="A245" s="1">
        <v>41400</v>
      </c>
      <c r="B245">
        <v>2013</v>
      </c>
      <c r="C245" t="s">
        <v>33</v>
      </c>
      <c r="D245" s="1">
        <v>41553</v>
      </c>
      <c r="E245">
        <v>5</v>
      </c>
      <c r="F245" t="s">
        <v>20</v>
      </c>
      <c r="G245" t="s">
        <v>609</v>
      </c>
      <c r="H245" t="s">
        <v>22</v>
      </c>
      <c r="I245" t="s">
        <v>23</v>
      </c>
      <c r="J245" t="s">
        <v>232</v>
      </c>
      <c r="K245" t="s">
        <v>166</v>
      </c>
      <c r="L245" t="s">
        <v>87</v>
      </c>
      <c r="M245" t="s">
        <v>40</v>
      </c>
      <c r="N245" t="s">
        <v>57</v>
      </c>
      <c r="O245" t="s">
        <v>530</v>
      </c>
      <c r="P245">
        <v>7.41</v>
      </c>
      <c r="Q245">
        <v>2</v>
      </c>
      <c r="R245">
        <v>0.2</v>
      </c>
      <c r="S245">
        <v>1.2</v>
      </c>
    </row>
    <row r="246" spans="1:19" x14ac:dyDescent="0.3">
      <c r="A246" s="1">
        <v>40549</v>
      </c>
      <c r="B246">
        <v>2011</v>
      </c>
      <c r="C246" t="s">
        <v>33</v>
      </c>
      <c r="D246" s="1">
        <v>40700</v>
      </c>
      <c r="E246">
        <v>5</v>
      </c>
      <c r="F246" t="s">
        <v>20</v>
      </c>
      <c r="G246" t="s">
        <v>615</v>
      </c>
      <c r="H246" t="s">
        <v>84</v>
      </c>
      <c r="I246" t="s">
        <v>23</v>
      </c>
      <c r="J246" t="s">
        <v>616</v>
      </c>
      <c r="K246" t="s">
        <v>181</v>
      </c>
      <c r="L246" t="s">
        <v>87</v>
      </c>
      <c r="M246" t="s">
        <v>27</v>
      </c>
      <c r="N246" t="s">
        <v>30</v>
      </c>
      <c r="O246" t="s">
        <v>376</v>
      </c>
      <c r="P246">
        <v>2001.86</v>
      </c>
      <c r="Q246">
        <v>7</v>
      </c>
      <c r="R246">
        <v>0</v>
      </c>
      <c r="S246">
        <v>580.54</v>
      </c>
    </row>
    <row r="247" spans="1:19" x14ac:dyDescent="0.3">
      <c r="A247" s="1">
        <v>40549</v>
      </c>
      <c r="B247">
        <v>2011</v>
      </c>
      <c r="C247" t="s">
        <v>33</v>
      </c>
      <c r="D247" s="1">
        <v>40700</v>
      </c>
      <c r="E247">
        <v>5</v>
      </c>
      <c r="F247" t="s">
        <v>20</v>
      </c>
      <c r="G247" t="s">
        <v>615</v>
      </c>
      <c r="H247" t="s">
        <v>84</v>
      </c>
      <c r="I247" t="s">
        <v>23</v>
      </c>
      <c r="J247" t="s">
        <v>616</v>
      </c>
      <c r="K247" t="s">
        <v>181</v>
      </c>
      <c r="L247" t="s">
        <v>87</v>
      </c>
      <c r="M247" t="s">
        <v>40</v>
      </c>
      <c r="N247" t="s">
        <v>51</v>
      </c>
      <c r="O247" t="s">
        <v>617</v>
      </c>
      <c r="P247">
        <v>166.72</v>
      </c>
      <c r="Q247">
        <v>2</v>
      </c>
      <c r="R247">
        <v>0</v>
      </c>
      <c r="S247">
        <v>41.68</v>
      </c>
    </row>
    <row r="248" spans="1:19" x14ac:dyDescent="0.3">
      <c r="A248" s="1">
        <v>40549</v>
      </c>
      <c r="B248">
        <v>2011</v>
      </c>
      <c r="C248" t="s">
        <v>33</v>
      </c>
      <c r="D248" s="1">
        <v>40700</v>
      </c>
      <c r="E248">
        <v>5</v>
      </c>
      <c r="F248" t="s">
        <v>20</v>
      </c>
      <c r="G248" t="s">
        <v>615</v>
      </c>
      <c r="H248" t="s">
        <v>84</v>
      </c>
      <c r="I248" t="s">
        <v>23</v>
      </c>
      <c r="J248" t="s">
        <v>616</v>
      </c>
      <c r="K248" t="s">
        <v>181</v>
      </c>
      <c r="L248" t="s">
        <v>87</v>
      </c>
      <c r="M248" t="s">
        <v>40</v>
      </c>
      <c r="N248" t="s">
        <v>74</v>
      </c>
      <c r="O248" t="s">
        <v>618</v>
      </c>
      <c r="P248">
        <v>47.88</v>
      </c>
      <c r="Q248">
        <v>6</v>
      </c>
      <c r="R248">
        <v>0</v>
      </c>
      <c r="S248">
        <v>23.94</v>
      </c>
    </row>
    <row r="249" spans="1:19" x14ac:dyDescent="0.3">
      <c r="A249" s="1">
        <v>40549</v>
      </c>
      <c r="B249">
        <v>2011</v>
      </c>
      <c r="C249" t="s">
        <v>33</v>
      </c>
      <c r="D249" s="1">
        <v>40700</v>
      </c>
      <c r="E249">
        <v>5</v>
      </c>
      <c r="F249" t="s">
        <v>20</v>
      </c>
      <c r="G249" t="s">
        <v>615</v>
      </c>
      <c r="H249" t="s">
        <v>84</v>
      </c>
      <c r="I249" t="s">
        <v>23</v>
      </c>
      <c r="J249" t="s">
        <v>616</v>
      </c>
      <c r="K249" t="s">
        <v>181</v>
      </c>
      <c r="L249" t="s">
        <v>87</v>
      </c>
      <c r="M249" t="s">
        <v>40</v>
      </c>
      <c r="N249" t="s">
        <v>64</v>
      </c>
      <c r="O249" t="s">
        <v>619</v>
      </c>
      <c r="P249">
        <v>1503.25</v>
      </c>
      <c r="Q249">
        <v>5</v>
      </c>
      <c r="R249">
        <v>0</v>
      </c>
      <c r="S249">
        <v>496.07</v>
      </c>
    </row>
    <row r="250" spans="1:19" x14ac:dyDescent="0.3">
      <c r="A250" s="1">
        <v>40549</v>
      </c>
      <c r="B250">
        <v>2011</v>
      </c>
      <c r="C250" t="s">
        <v>33</v>
      </c>
      <c r="D250" s="1">
        <v>40700</v>
      </c>
      <c r="E250">
        <v>5</v>
      </c>
      <c r="F250" t="s">
        <v>20</v>
      </c>
      <c r="G250" t="s">
        <v>615</v>
      </c>
      <c r="H250" t="s">
        <v>84</v>
      </c>
      <c r="I250" t="s">
        <v>23</v>
      </c>
      <c r="J250" t="s">
        <v>616</v>
      </c>
      <c r="K250" t="s">
        <v>181</v>
      </c>
      <c r="L250" t="s">
        <v>87</v>
      </c>
      <c r="M250" t="s">
        <v>40</v>
      </c>
      <c r="N250" t="s">
        <v>74</v>
      </c>
      <c r="O250" t="s">
        <v>521</v>
      </c>
      <c r="P250">
        <v>25.92</v>
      </c>
      <c r="Q250">
        <v>4</v>
      </c>
      <c r="R250">
        <v>0</v>
      </c>
      <c r="S250">
        <v>12.44</v>
      </c>
    </row>
    <row r="251" spans="1:19" x14ac:dyDescent="0.3">
      <c r="A251" s="1">
        <v>41590</v>
      </c>
      <c r="B251">
        <v>2013</v>
      </c>
      <c r="C251" t="s">
        <v>76</v>
      </c>
      <c r="D251" t="s">
        <v>620</v>
      </c>
      <c r="E251">
        <v>5</v>
      </c>
      <c r="F251" t="s">
        <v>20</v>
      </c>
      <c r="G251" t="s">
        <v>621</v>
      </c>
      <c r="H251" t="s">
        <v>22</v>
      </c>
      <c r="I251" t="s">
        <v>23</v>
      </c>
      <c r="J251" t="s">
        <v>105</v>
      </c>
      <c r="K251" t="s">
        <v>38</v>
      </c>
      <c r="L251" t="s">
        <v>39</v>
      </c>
      <c r="M251" t="s">
        <v>27</v>
      </c>
      <c r="N251" t="s">
        <v>30</v>
      </c>
      <c r="O251" t="s">
        <v>622</v>
      </c>
      <c r="P251">
        <v>321.57</v>
      </c>
      <c r="Q251">
        <v>2</v>
      </c>
      <c r="R251">
        <v>0.2</v>
      </c>
      <c r="S251">
        <v>28.14</v>
      </c>
    </row>
    <row r="252" spans="1:19" x14ac:dyDescent="0.3">
      <c r="A252" s="1">
        <v>41617</v>
      </c>
      <c r="B252">
        <v>2013</v>
      </c>
      <c r="C252" t="s">
        <v>124</v>
      </c>
      <c r="D252" t="s">
        <v>293</v>
      </c>
      <c r="E252">
        <v>6</v>
      </c>
      <c r="F252" t="s">
        <v>45</v>
      </c>
      <c r="G252" t="s">
        <v>623</v>
      </c>
      <c r="H252" t="s">
        <v>22</v>
      </c>
      <c r="I252" t="s">
        <v>23</v>
      </c>
      <c r="J252" t="s">
        <v>624</v>
      </c>
      <c r="K252" t="s">
        <v>38</v>
      </c>
      <c r="L252" t="s">
        <v>39</v>
      </c>
      <c r="M252" t="s">
        <v>40</v>
      </c>
      <c r="N252" t="s">
        <v>74</v>
      </c>
      <c r="O252" t="s">
        <v>625</v>
      </c>
      <c r="P252">
        <v>7.61</v>
      </c>
      <c r="Q252">
        <v>1</v>
      </c>
      <c r="R252">
        <v>0</v>
      </c>
      <c r="S252">
        <v>3.58</v>
      </c>
    </row>
    <row r="253" spans="1:19" x14ac:dyDescent="0.3">
      <c r="A253" s="1">
        <v>41617</v>
      </c>
      <c r="B253">
        <v>2013</v>
      </c>
      <c r="C253" t="s">
        <v>124</v>
      </c>
      <c r="D253" t="s">
        <v>293</v>
      </c>
      <c r="E253">
        <v>6</v>
      </c>
      <c r="F253" t="s">
        <v>45</v>
      </c>
      <c r="G253" t="s">
        <v>623</v>
      </c>
      <c r="H253" t="s">
        <v>22</v>
      </c>
      <c r="I253" t="s">
        <v>23</v>
      </c>
      <c r="J253" t="s">
        <v>624</v>
      </c>
      <c r="K253" t="s">
        <v>38</v>
      </c>
      <c r="L253" t="s">
        <v>39</v>
      </c>
      <c r="M253" t="s">
        <v>59</v>
      </c>
      <c r="N253" t="s">
        <v>133</v>
      </c>
      <c r="O253" t="s">
        <v>605</v>
      </c>
      <c r="P253">
        <v>3347.37</v>
      </c>
      <c r="Q253">
        <v>13</v>
      </c>
      <c r="R253">
        <v>0</v>
      </c>
      <c r="S253">
        <v>636</v>
      </c>
    </row>
    <row r="254" spans="1:19" x14ac:dyDescent="0.3">
      <c r="A254" s="1">
        <v>41590</v>
      </c>
      <c r="B254">
        <v>2013</v>
      </c>
      <c r="C254" t="s">
        <v>76</v>
      </c>
      <c r="D254" t="s">
        <v>109</v>
      </c>
      <c r="E254">
        <v>3</v>
      </c>
      <c r="F254" t="s">
        <v>151</v>
      </c>
      <c r="G254" t="s">
        <v>626</v>
      </c>
      <c r="H254" t="s">
        <v>22</v>
      </c>
      <c r="I254" t="s">
        <v>23</v>
      </c>
      <c r="J254" t="s">
        <v>208</v>
      </c>
      <c r="K254" t="s">
        <v>209</v>
      </c>
      <c r="L254" t="s">
        <v>121</v>
      </c>
      <c r="M254" t="s">
        <v>40</v>
      </c>
      <c r="N254" t="s">
        <v>51</v>
      </c>
      <c r="O254" t="s">
        <v>627</v>
      </c>
      <c r="P254">
        <v>80.58</v>
      </c>
      <c r="Q254">
        <v>6</v>
      </c>
      <c r="R254">
        <v>0</v>
      </c>
      <c r="S254">
        <v>22.56</v>
      </c>
    </row>
    <row r="255" spans="1:19" x14ac:dyDescent="0.3">
      <c r="A255" s="1">
        <v>41590</v>
      </c>
      <c r="B255">
        <v>2013</v>
      </c>
      <c r="C255" t="s">
        <v>76</v>
      </c>
      <c r="D255" t="s">
        <v>109</v>
      </c>
      <c r="E255">
        <v>3</v>
      </c>
      <c r="F255" t="s">
        <v>151</v>
      </c>
      <c r="G255" t="s">
        <v>626</v>
      </c>
      <c r="H255" t="s">
        <v>22</v>
      </c>
      <c r="I255" t="s">
        <v>23</v>
      </c>
      <c r="J255" t="s">
        <v>208</v>
      </c>
      <c r="K255" t="s">
        <v>209</v>
      </c>
      <c r="L255" t="s">
        <v>121</v>
      </c>
      <c r="M255" t="s">
        <v>40</v>
      </c>
      <c r="N255" t="s">
        <v>141</v>
      </c>
      <c r="O255" t="s">
        <v>628</v>
      </c>
      <c r="P255">
        <v>361.92</v>
      </c>
      <c r="Q255">
        <v>4</v>
      </c>
      <c r="R255">
        <v>0</v>
      </c>
      <c r="S255">
        <v>162.86000000000001</v>
      </c>
    </row>
    <row r="256" spans="1:19" x14ac:dyDescent="0.3">
      <c r="A256" t="s">
        <v>629</v>
      </c>
      <c r="B256">
        <v>2012</v>
      </c>
      <c r="C256" t="s">
        <v>19</v>
      </c>
      <c r="D256" s="1">
        <v>41011</v>
      </c>
      <c r="E256">
        <v>6</v>
      </c>
      <c r="F256" t="s">
        <v>45</v>
      </c>
      <c r="G256" t="s">
        <v>630</v>
      </c>
      <c r="H256" t="s">
        <v>36</v>
      </c>
      <c r="I256" t="s">
        <v>23</v>
      </c>
      <c r="J256" t="s">
        <v>232</v>
      </c>
      <c r="K256" t="s">
        <v>166</v>
      </c>
      <c r="L256" t="s">
        <v>87</v>
      </c>
      <c r="M256" t="s">
        <v>27</v>
      </c>
      <c r="N256" t="s">
        <v>55</v>
      </c>
      <c r="O256" t="s">
        <v>614</v>
      </c>
      <c r="P256">
        <v>12.13</v>
      </c>
      <c r="Q256">
        <v>9</v>
      </c>
      <c r="R256">
        <v>0.6</v>
      </c>
      <c r="S256">
        <v>-8.49</v>
      </c>
    </row>
    <row r="257" spans="1:19" x14ac:dyDescent="0.3">
      <c r="A257" t="s">
        <v>629</v>
      </c>
      <c r="B257">
        <v>2012</v>
      </c>
      <c r="C257" t="s">
        <v>19</v>
      </c>
      <c r="D257" s="1">
        <v>41011</v>
      </c>
      <c r="E257">
        <v>6</v>
      </c>
      <c r="F257" t="s">
        <v>45</v>
      </c>
      <c r="G257" t="s">
        <v>630</v>
      </c>
      <c r="H257" t="s">
        <v>36</v>
      </c>
      <c r="I257" t="s">
        <v>23</v>
      </c>
      <c r="J257" t="s">
        <v>232</v>
      </c>
      <c r="K257" t="s">
        <v>166</v>
      </c>
      <c r="L257" t="s">
        <v>87</v>
      </c>
      <c r="M257" t="s">
        <v>40</v>
      </c>
      <c r="N257" t="s">
        <v>51</v>
      </c>
      <c r="O257" t="s">
        <v>631</v>
      </c>
      <c r="P257">
        <v>82.37</v>
      </c>
      <c r="Q257">
        <v>2</v>
      </c>
      <c r="R257">
        <v>0.2</v>
      </c>
      <c r="S257">
        <v>-19.559999999999999</v>
      </c>
    </row>
    <row r="258" spans="1:19" x14ac:dyDescent="0.3">
      <c r="A258" t="s">
        <v>629</v>
      </c>
      <c r="B258">
        <v>2012</v>
      </c>
      <c r="C258" t="s">
        <v>19</v>
      </c>
      <c r="D258" s="1">
        <v>41011</v>
      </c>
      <c r="E258">
        <v>6</v>
      </c>
      <c r="F258" t="s">
        <v>45</v>
      </c>
      <c r="G258" t="s">
        <v>630</v>
      </c>
      <c r="H258" t="s">
        <v>36</v>
      </c>
      <c r="I258" t="s">
        <v>23</v>
      </c>
      <c r="J258" t="s">
        <v>232</v>
      </c>
      <c r="K258" t="s">
        <v>166</v>
      </c>
      <c r="L258" t="s">
        <v>87</v>
      </c>
      <c r="M258" t="s">
        <v>40</v>
      </c>
      <c r="N258" t="s">
        <v>51</v>
      </c>
      <c r="O258" t="s">
        <v>438</v>
      </c>
      <c r="P258">
        <v>53.92</v>
      </c>
      <c r="Q258">
        <v>5</v>
      </c>
      <c r="R258">
        <v>0.2</v>
      </c>
      <c r="S258">
        <v>4.04</v>
      </c>
    </row>
    <row r="259" spans="1:19" x14ac:dyDescent="0.3">
      <c r="A259" t="s">
        <v>629</v>
      </c>
      <c r="B259">
        <v>2012</v>
      </c>
      <c r="C259" t="s">
        <v>19</v>
      </c>
      <c r="D259" s="1">
        <v>41011</v>
      </c>
      <c r="E259">
        <v>6</v>
      </c>
      <c r="F259" t="s">
        <v>45</v>
      </c>
      <c r="G259" t="s">
        <v>630</v>
      </c>
      <c r="H259" t="s">
        <v>36</v>
      </c>
      <c r="I259" t="s">
        <v>23</v>
      </c>
      <c r="J259" t="s">
        <v>232</v>
      </c>
      <c r="K259" t="s">
        <v>166</v>
      </c>
      <c r="L259" t="s">
        <v>87</v>
      </c>
      <c r="M259" t="s">
        <v>59</v>
      </c>
      <c r="N259" t="s">
        <v>60</v>
      </c>
      <c r="O259" t="s">
        <v>632</v>
      </c>
      <c r="P259">
        <v>647.9</v>
      </c>
      <c r="Q259">
        <v>6</v>
      </c>
      <c r="R259">
        <v>0.2</v>
      </c>
      <c r="S259">
        <v>56.69</v>
      </c>
    </row>
    <row r="260" spans="1:19" x14ac:dyDescent="0.3">
      <c r="A260" s="1">
        <v>41682</v>
      </c>
      <c r="B260">
        <v>2014</v>
      </c>
      <c r="C260" t="s">
        <v>76</v>
      </c>
      <c r="D260" s="1">
        <v>41741</v>
      </c>
      <c r="E260">
        <v>2</v>
      </c>
      <c r="F260" t="s">
        <v>20</v>
      </c>
      <c r="G260" t="s">
        <v>633</v>
      </c>
      <c r="H260" t="s">
        <v>22</v>
      </c>
      <c r="I260" t="s">
        <v>23</v>
      </c>
      <c r="J260" t="s">
        <v>208</v>
      </c>
      <c r="K260" t="s">
        <v>209</v>
      </c>
      <c r="L260" t="s">
        <v>121</v>
      </c>
      <c r="M260" t="s">
        <v>59</v>
      </c>
      <c r="N260" t="s">
        <v>133</v>
      </c>
      <c r="O260" t="s">
        <v>634</v>
      </c>
      <c r="P260">
        <v>20.37</v>
      </c>
      <c r="Q260">
        <v>3</v>
      </c>
      <c r="R260">
        <v>0</v>
      </c>
      <c r="S260">
        <v>6.93</v>
      </c>
    </row>
    <row r="261" spans="1:19" x14ac:dyDescent="0.3">
      <c r="A261" s="1">
        <v>41682</v>
      </c>
      <c r="B261">
        <v>2014</v>
      </c>
      <c r="C261" t="s">
        <v>76</v>
      </c>
      <c r="D261" s="1">
        <v>41741</v>
      </c>
      <c r="E261">
        <v>2</v>
      </c>
      <c r="F261" t="s">
        <v>20</v>
      </c>
      <c r="G261" t="s">
        <v>633</v>
      </c>
      <c r="H261" t="s">
        <v>22</v>
      </c>
      <c r="I261" t="s">
        <v>23</v>
      </c>
      <c r="J261" t="s">
        <v>208</v>
      </c>
      <c r="K261" t="s">
        <v>209</v>
      </c>
      <c r="L261" t="s">
        <v>121</v>
      </c>
      <c r="M261" t="s">
        <v>40</v>
      </c>
      <c r="N261" t="s">
        <v>51</v>
      </c>
      <c r="O261" t="s">
        <v>635</v>
      </c>
      <c r="P261">
        <v>221.55</v>
      </c>
      <c r="Q261">
        <v>3</v>
      </c>
      <c r="R261">
        <v>0</v>
      </c>
      <c r="S261">
        <v>6.65</v>
      </c>
    </row>
    <row r="262" spans="1:19" x14ac:dyDescent="0.3">
      <c r="A262" s="1">
        <v>41682</v>
      </c>
      <c r="B262">
        <v>2014</v>
      </c>
      <c r="C262" t="s">
        <v>76</v>
      </c>
      <c r="D262" s="1">
        <v>41741</v>
      </c>
      <c r="E262">
        <v>2</v>
      </c>
      <c r="F262" t="s">
        <v>20</v>
      </c>
      <c r="G262" t="s">
        <v>633</v>
      </c>
      <c r="H262" t="s">
        <v>22</v>
      </c>
      <c r="I262" t="s">
        <v>23</v>
      </c>
      <c r="J262" t="s">
        <v>208</v>
      </c>
      <c r="K262" t="s">
        <v>209</v>
      </c>
      <c r="L262" t="s">
        <v>121</v>
      </c>
      <c r="M262" t="s">
        <v>40</v>
      </c>
      <c r="N262" t="s">
        <v>62</v>
      </c>
      <c r="O262" t="s">
        <v>636</v>
      </c>
      <c r="P262">
        <v>17.52</v>
      </c>
      <c r="Q262">
        <v>5</v>
      </c>
      <c r="R262">
        <v>0.2</v>
      </c>
      <c r="S262">
        <v>6.13</v>
      </c>
    </row>
    <row r="263" spans="1:19" x14ac:dyDescent="0.3">
      <c r="A263" s="1">
        <v>41888</v>
      </c>
      <c r="B263">
        <v>2014</v>
      </c>
      <c r="C263" t="s">
        <v>33</v>
      </c>
      <c r="D263" t="s">
        <v>637</v>
      </c>
      <c r="E263">
        <v>4</v>
      </c>
      <c r="F263" t="s">
        <v>45</v>
      </c>
      <c r="G263" t="s">
        <v>638</v>
      </c>
      <c r="H263" t="s">
        <v>36</v>
      </c>
      <c r="I263" t="s">
        <v>23</v>
      </c>
      <c r="J263" t="s">
        <v>417</v>
      </c>
      <c r="K263" t="s">
        <v>86</v>
      </c>
      <c r="L263" t="s">
        <v>87</v>
      </c>
      <c r="M263" t="s">
        <v>40</v>
      </c>
      <c r="N263" t="s">
        <v>64</v>
      </c>
      <c r="O263" t="s">
        <v>639</v>
      </c>
      <c r="P263">
        <v>1.62</v>
      </c>
      <c r="Q263">
        <v>2</v>
      </c>
      <c r="R263">
        <v>0.8</v>
      </c>
      <c r="S263">
        <v>-4.47</v>
      </c>
    </row>
    <row r="264" spans="1:19" x14ac:dyDescent="0.3">
      <c r="A264" t="s">
        <v>477</v>
      </c>
      <c r="B264">
        <v>2011</v>
      </c>
      <c r="C264" t="s">
        <v>124</v>
      </c>
      <c r="D264" t="s">
        <v>640</v>
      </c>
      <c r="E264">
        <v>2</v>
      </c>
      <c r="F264" t="s">
        <v>20</v>
      </c>
      <c r="G264" t="s">
        <v>641</v>
      </c>
      <c r="H264" t="s">
        <v>36</v>
      </c>
      <c r="I264" t="s">
        <v>23</v>
      </c>
      <c r="J264" t="s">
        <v>149</v>
      </c>
      <c r="K264" t="s">
        <v>86</v>
      </c>
      <c r="L264" t="s">
        <v>87</v>
      </c>
      <c r="M264" t="s">
        <v>59</v>
      </c>
      <c r="N264" t="s">
        <v>465</v>
      </c>
      <c r="O264" t="s">
        <v>466</v>
      </c>
      <c r="P264">
        <v>3059.98</v>
      </c>
      <c r="Q264">
        <v>3</v>
      </c>
      <c r="R264">
        <v>0.4</v>
      </c>
      <c r="S264">
        <v>-510</v>
      </c>
    </row>
    <row r="265" spans="1:19" x14ac:dyDescent="0.3">
      <c r="A265" t="s">
        <v>477</v>
      </c>
      <c r="B265">
        <v>2011</v>
      </c>
      <c r="C265" t="s">
        <v>124</v>
      </c>
      <c r="D265" t="s">
        <v>640</v>
      </c>
      <c r="E265">
        <v>2</v>
      </c>
      <c r="F265" t="s">
        <v>20</v>
      </c>
      <c r="G265" t="s">
        <v>641</v>
      </c>
      <c r="H265" t="s">
        <v>36</v>
      </c>
      <c r="I265" t="s">
        <v>23</v>
      </c>
      <c r="J265" t="s">
        <v>149</v>
      </c>
      <c r="K265" t="s">
        <v>86</v>
      </c>
      <c r="L265" t="s">
        <v>87</v>
      </c>
      <c r="M265" t="s">
        <v>59</v>
      </c>
      <c r="N265" t="s">
        <v>465</v>
      </c>
      <c r="O265" t="s">
        <v>642</v>
      </c>
      <c r="P265">
        <v>2519.96</v>
      </c>
      <c r="Q265">
        <v>7</v>
      </c>
      <c r="R265">
        <v>0.4</v>
      </c>
      <c r="S265">
        <v>-252</v>
      </c>
    </row>
    <row r="266" spans="1:19" x14ac:dyDescent="0.3">
      <c r="A266" s="1">
        <v>41461</v>
      </c>
      <c r="B266">
        <v>2013</v>
      </c>
      <c r="C266" t="s">
        <v>33</v>
      </c>
      <c r="D266" t="s">
        <v>643</v>
      </c>
      <c r="E266">
        <v>7</v>
      </c>
      <c r="F266" t="s">
        <v>45</v>
      </c>
      <c r="G266" t="s">
        <v>644</v>
      </c>
      <c r="H266" t="s">
        <v>22</v>
      </c>
      <c r="I266" t="s">
        <v>23</v>
      </c>
      <c r="J266" t="s">
        <v>232</v>
      </c>
      <c r="K266" t="s">
        <v>166</v>
      </c>
      <c r="L266" t="s">
        <v>87</v>
      </c>
      <c r="M266" t="s">
        <v>59</v>
      </c>
      <c r="N266" t="s">
        <v>60</v>
      </c>
      <c r="O266" t="s">
        <v>645</v>
      </c>
      <c r="P266">
        <v>328.22</v>
      </c>
      <c r="Q266">
        <v>4</v>
      </c>
      <c r="R266">
        <v>0.2</v>
      </c>
      <c r="S266">
        <v>28.72</v>
      </c>
    </row>
    <row r="267" spans="1:19" x14ac:dyDescent="0.3">
      <c r="A267" s="1">
        <v>41193</v>
      </c>
      <c r="B267">
        <v>2012</v>
      </c>
      <c r="C267" t="s">
        <v>19</v>
      </c>
      <c r="D267" t="s">
        <v>646</v>
      </c>
      <c r="E267">
        <v>5</v>
      </c>
      <c r="F267" t="s">
        <v>45</v>
      </c>
      <c r="G267" t="s">
        <v>647</v>
      </c>
      <c r="H267" t="s">
        <v>22</v>
      </c>
      <c r="I267" t="s">
        <v>23</v>
      </c>
      <c r="J267" t="s">
        <v>648</v>
      </c>
      <c r="K267" t="s">
        <v>38</v>
      </c>
      <c r="L267" t="s">
        <v>39</v>
      </c>
      <c r="M267" t="s">
        <v>59</v>
      </c>
      <c r="N267" t="s">
        <v>133</v>
      </c>
      <c r="O267" t="s">
        <v>649</v>
      </c>
      <c r="P267">
        <v>79.900000000000006</v>
      </c>
      <c r="Q267">
        <v>2</v>
      </c>
      <c r="R267">
        <v>0</v>
      </c>
      <c r="S267">
        <v>35.159999999999997</v>
      </c>
    </row>
    <row r="268" spans="1:19" x14ac:dyDescent="0.3">
      <c r="A268" t="s">
        <v>650</v>
      </c>
      <c r="B268">
        <v>2014</v>
      </c>
      <c r="C268" t="s">
        <v>33</v>
      </c>
      <c r="D268" t="s">
        <v>312</v>
      </c>
      <c r="E268">
        <v>4</v>
      </c>
      <c r="F268" t="s">
        <v>45</v>
      </c>
      <c r="G268" t="s">
        <v>651</v>
      </c>
      <c r="H268" t="s">
        <v>36</v>
      </c>
      <c r="I268" t="s">
        <v>23</v>
      </c>
      <c r="J268" t="s">
        <v>652</v>
      </c>
      <c r="K268" t="s">
        <v>73</v>
      </c>
      <c r="L268" t="s">
        <v>26</v>
      </c>
      <c r="M268" t="s">
        <v>40</v>
      </c>
      <c r="N268" t="s">
        <v>57</v>
      </c>
      <c r="O268" t="s">
        <v>653</v>
      </c>
      <c r="P268">
        <v>14.02</v>
      </c>
      <c r="Q268">
        <v>3</v>
      </c>
      <c r="R268">
        <v>0.2</v>
      </c>
      <c r="S268">
        <v>4.7300000000000004</v>
      </c>
    </row>
    <row r="269" spans="1:19" x14ac:dyDescent="0.3">
      <c r="A269" t="s">
        <v>654</v>
      </c>
      <c r="B269">
        <v>2013</v>
      </c>
      <c r="C269" t="s">
        <v>129</v>
      </c>
      <c r="D269" t="s">
        <v>655</v>
      </c>
      <c r="E269">
        <v>6</v>
      </c>
      <c r="F269" t="s">
        <v>45</v>
      </c>
      <c r="G269" t="s">
        <v>287</v>
      </c>
      <c r="H269" t="s">
        <v>22</v>
      </c>
      <c r="I269" t="s">
        <v>23</v>
      </c>
      <c r="J269" t="s">
        <v>656</v>
      </c>
      <c r="K269" t="s">
        <v>534</v>
      </c>
      <c r="L269" t="s">
        <v>121</v>
      </c>
      <c r="M269" t="s">
        <v>40</v>
      </c>
      <c r="N269" t="s">
        <v>210</v>
      </c>
      <c r="O269" t="s">
        <v>657</v>
      </c>
      <c r="P269">
        <v>7.56</v>
      </c>
      <c r="Q269">
        <v>6</v>
      </c>
      <c r="R269">
        <v>0</v>
      </c>
      <c r="S269">
        <v>0.3</v>
      </c>
    </row>
    <row r="270" spans="1:19" x14ac:dyDescent="0.3">
      <c r="A270" s="1">
        <v>41924</v>
      </c>
      <c r="B270">
        <v>2014</v>
      </c>
      <c r="C270" t="s">
        <v>76</v>
      </c>
      <c r="D270" t="s">
        <v>658</v>
      </c>
      <c r="E270">
        <v>4</v>
      </c>
      <c r="F270" t="s">
        <v>45</v>
      </c>
      <c r="G270" t="s">
        <v>659</v>
      </c>
      <c r="H270" t="s">
        <v>36</v>
      </c>
      <c r="I270" t="s">
        <v>23</v>
      </c>
      <c r="J270" t="s">
        <v>660</v>
      </c>
      <c r="K270" t="s">
        <v>357</v>
      </c>
      <c r="L270" t="s">
        <v>121</v>
      </c>
      <c r="M270" t="s">
        <v>40</v>
      </c>
      <c r="N270" t="s">
        <v>51</v>
      </c>
      <c r="O270" t="s">
        <v>661</v>
      </c>
      <c r="P270">
        <v>37.21</v>
      </c>
      <c r="Q270">
        <v>1</v>
      </c>
      <c r="R270">
        <v>0.2</v>
      </c>
      <c r="S270">
        <v>-7.44</v>
      </c>
    </row>
    <row r="271" spans="1:19" x14ac:dyDescent="0.3">
      <c r="A271" s="1">
        <v>41924</v>
      </c>
      <c r="B271">
        <v>2014</v>
      </c>
      <c r="C271" t="s">
        <v>76</v>
      </c>
      <c r="D271" t="s">
        <v>658</v>
      </c>
      <c r="E271">
        <v>4</v>
      </c>
      <c r="F271" t="s">
        <v>45</v>
      </c>
      <c r="G271" t="s">
        <v>659</v>
      </c>
      <c r="H271" t="s">
        <v>36</v>
      </c>
      <c r="I271" t="s">
        <v>23</v>
      </c>
      <c r="J271" t="s">
        <v>660</v>
      </c>
      <c r="K271" t="s">
        <v>357</v>
      </c>
      <c r="L271" t="s">
        <v>121</v>
      </c>
      <c r="M271" t="s">
        <v>40</v>
      </c>
      <c r="N271" t="s">
        <v>141</v>
      </c>
      <c r="O271" t="s">
        <v>662</v>
      </c>
      <c r="P271">
        <v>57.58</v>
      </c>
      <c r="Q271">
        <v>3</v>
      </c>
      <c r="R271">
        <v>0.2</v>
      </c>
      <c r="S271">
        <v>21.59</v>
      </c>
    </row>
    <row r="272" spans="1:19" x14ac:dyDescent="0.3">
      <c r="A272" t="s">
        <v>663</v>
      </c>
      <c r="B272">
        <v>2014</v>
      </c>
      <c r="C272" t="s">
        <v>76</v>
      </c>
      <c r="D272" s="1">
        <v>42064</v>
      </c>
      <c r="E272">
        <v>5</v>
      </c>
      <c r="F272" t="s">
        <v>20</v>
      </c>
      <c r="G272" t="s">
        <v>664</v>
      </c>
      <c r="H272" t="s">
        <v>36</v>
      </c>
      <c r="I272" t="s">
        <v>23</v>
      </c>
      <c r="J272" t="s">
        <v>105</v>
      </c>
      <c r="K272" t="s">
        <v>38</v>
      </c>
      <c r="L272" t="s">
        <v>39</v>
      </c>
      <c r="M272" t="s">
        <v>40</v>
      </c>
      <c r="N272" t="s">
        <v>51</v>
      </c>
      <c r="O272" t="s">
        <v>665</v>
      </c>
      <c r="P272">
        <v>725.84</v>
      </c>
      <c r="Q272">
        <v>4</v>
      </c>
      <c r="R272">
        <v>0</v>
      </c>
      <c r="S272">
        <v>210.49</v>
      </c>
    </row>
    <row r="273" spans="1:19" x14ac:dyDescent="0.3">
      <c r="A273" t="s">
        <v>666</v>
      </c>
      <c r="B273">
        <v>2012</v>
      </c>
      <c r="C273" t="s">
        <v>116</v>
      </c>
      <c r="D273" t="s">
        <v>667</v>
      </c>
      <c r="E273">
        <v>1</v>
      </c>
      <c r="F273" t="s">
        <v>151</v>
      </c>
      <c r="G273" t="s">
        <v>416</v>
      </c>
      <c r="H273" t="s">
        <v>22</v>
      </c>
      <c r="I273" t="s">
        <v>23</v>
      </c>
      <c r="J273" t="s">
        <v>105</v>
      </c>
      <c r="K273" t="s">
        <v>38</v>
      </c>
      <c r="L273" t="s">
        <v>39</v>
      </c>
      <c r="M273" t="s">
        <v>59</v>
      </c>
      <c r="N273" t="s">
        <v>133</v>
      </c>
      <c r="O273" t="s">
        <v>668</v>
      </c>
      <c r="P273">
        <v>209.93</v>
      </c>
      <c r="Q273">
        <v>7</v>
      </c>
      <c r="R273">
        <v>0</v>
      </c>
      <c r="S273">
        <v>92.37</v>
      </c>
    </row>
    <row r="274" spans="1:19" x14ac:dyDescent="0.3">
      <c r="A274" t="s">
        <v>666</v>
      </c>
      <c r="B274">
        <v>2012</v>
      </c>
      <c r="C274" t="s">
        <v>116</v>
      </c>
      <c r="D274" t="s">
        <v>667</v>
      </c>
      <c r="E274">
        <v>1</v>
      </c>
      <c r="F274" t="s">
        <v>151</v>
      </c>
      <c r="G274" t="s">
        <v>416</v>
      </c>
      <c r="H274" t="s">
        <v>22</v>
      </c>
      <c r="I274" t="s">
        <v>23</v>
      </c>
      <c r="J274" t="s">
        <v>105</v>
      </c>
      <c r="K274" t="s">
        <v>38</v>
      </c>
      <c r="L274" t="s">
        <v>39</v>
      </c>
      <c r="M274" t="s">
        <v>27</v>
      </c>
      <c r="N274" t="s">
        <v>55</v>
      </c>
      <c r="O274" t="s">
        <v>669</v>
      </c>
      <c r="P274">
        <v>5.28</v>
      </c>
      <c r="Q274">
        <v>3</v>
      </c>
      <c r="R274">
        <v>0</v>
      </c>
      <c r="S274">
        <v>2.3199999999999998</v>
      </c>
    </row>
    <row r="275" spans="1:19" x14ac:dyDescent="0.3">
      <c r="A275" t="s">
        <v>666</v>
      </c>
      <c r="B275">
        <v>2012</v>
      </c>
      <c r="C275" t="s">
        <v>116</v>
      </c>
      <c r="D275" t="s">
        <v>667</v>
      </c>
      <c r="E275">
        <v>1</v>
      </c>
      <c r="F275" t="s">
        <v>151</v>
      </c>
      <c r="G275" t="s">
        <v>416</v>
      </c>
      <c r="H275" t="s">
        <v>22</v>
      </c>
      <c r="I275" t="s">
        <v>23</v>
      </c>
      <c r="J275" t="s">
        <v>105</v>
      </c>
      <c r="K275" t="s">
        <v>38</v>
      </c>
      <c r="L275" t="s">
        <v>39</v>
      </c>
      <c r="M275" t="s">
        <v>40</v>
      </c>
      <c r="N275" t="s">
        <v>62</v>
      </c>
      <c r="O275" t="s">
        <v>670</v>
      </c>
      <c r="P275">
        <v>10.92</v>
      </c>
      <c r="Q275">
        <v>3</v>
      </c>
      <c r="R275">
        <v>0.2</v>
      </c>
      <c r="S275">
        <v>4.0999999999999996</v>
      </c>
    </row>
    <row r="276" spans="1:19" x14ac:dyDescent="0.3">
      <c r="A276" t="s">
        <v>671</v>
      </c>
      <c r="B276">
        <v>2014</v>
      </c>
      <c r="C276" t="s">
        <v>124</v>
      </c>
      <c r="D276" t="s">
        <v>248</v>
      </c>
      <c r="E276">
        <v>1</v>
      </c>
      <c r="F276" t="s">
        <v>151</v>
      </c>
      <c r="G276" t="s">
        <v>672</v>
      </c>
      <c r="H276" t="s">
        <v>36</v>
      </c>
      <c r="I276" t="s">
        <v>23</v>
      </c>
      <c r="J276" t="s">
        <v>673</v>
      </c>
      <c r="K276" t="s">
        <v>38</v>
      </c>
      <c r="L276" t="s">
        <v>39</v>
      </c>
      <c r="M276" t="s">
        <v>40</v>
      </c>
      <c r="N276" t="s">
        <v>74</v>
      </c>
      <c r="O276" t="s">
        <v>674</v>
      </c>
      <c r="P276">
        <v>8.82</v>
      </c>
      <c r="Q276">
        <v>2</v>
      </c>
      <c r="R276">
        <v>0</v>
      </c>
      <c r="S276">
        <v>4.0599999999999996</v>
      </c>
    </row>
    <row r="277" spans="1:19" x14ac:dyDescent="0.3">
      <c r="A277" t="s">
        <v>671</v>
      </c>
      <c r="B277">
        <v>2014</v>
      </c>
      <c r="C277" t="s">
        <v>124</v>
      </c>
      <c r="D277" t="s">
        <v>248</v>
      </c>
      <c r="E277">
        <v>1</v>
      </c>
      <c r="F277" t="s">
        <v>151</v>
      </c>
      <c r="G277" t="s">
        <v>672</v>
      </c>
      <c r="H277" t="s">
        <v>36</v>
      </c>
      <c r="I277" t="s">
        <v>23</v>
      </c>
      <c r="J277" t="s">
        <v>673</v>
      </c>
      <c r="K277" t="s">
        <v>38</v>
      </c>
      <c r="L277" t="s">
        <v>39</v>
      </c>
      <c r="M277" t="s">
        <v>40</v>
      </c>
      <c r="N277" t="s">
        <v>57</v>
      </c>
      <c r="O277" t="s">
        <v>675</v>
      </c>
      <c r="P277">
        <v>5.98</v>
      </c>
      <c r="Q277">
        <v>1</v>
      </c>
      <c r="R277">
        <v>0</v>
      </c>
      <c r="S277">
        <v>1.55</v>
      </c>
    </row>
    <row r="278" spans="1:19" x14ac:dyDescent="0.3">
      <c r="A278" t="s">
        <v>676</v>
      </c>
      <c r="B278">
        <v>2014</v>
      </c>
      <c r="C278" t="s">
        <v>43</v>
      </c>
      <c r="D278" t="s">
        <v>677</v>
      </c>
      <c r="E278">
        <v>4</v>
      </c>
      <c r="F278" t="s">
        <v>45</v>
      </c>
      <c r="G278" t="s">
        <v>678</v>
      </c>
      <c r="H278" t="s">
        <v>36</v>
      </c>
      <c r="I278" t="s">
        <v>23</v>
      </c>
      <c r="J278" t="s">
        <v>119</v>
      </c>
      <c r="K278" t="s">
        <v>120</v>
      </c>
      <c r="L278" t="s">
        <v>121</v>
      </c>
      <c r="M278" t="s">
        <v>40</v>
      </c>
      <c r="N278" t="s">
        <v>74</v>
      </c>
      <c r="O278" t="s">
        <v>679</v>
      </c>
      <c r="P278">
        <v>11.65</v>
      </c>
      <c r="Q278">
        <v>2</v>
      </c>
      <c r="R278">
        <v>0.2</v>
      </c>
      <c r="S278">
        <v>4.08</v>
      </c>
    </row>
    <row r="279" spans="1:19" x14ac:dyDescent="0.3">
      <c r="A279" t="s">
        <v>676</v>
      </c>
      <c r="B279">
        <v>2014</v>
      </c>
      <c r="C279" t="s">
        <v>43</v>
      </c>
      <c r="D279" t="s">
        <v>677</v>
      </c>
      <c r="E279">
        <v>4</v>
      </c>
      <c r="F279" t="s">
        <v>45</v>
      </c>
      <c r="G279" t="s">
        <v>678</v>
      </c>
      <c r="H279" t="s">
        <v>36</v>
      </c>
      <c r="I279" t="s">
        <v>23</v>
      </c>
      <c r="J279" t="s">
        <v>119</v>
      </c>
      <c r="K279" t="s">
        <v>120</v>
      </c>
      <c r="L279" t="s">
        <v>121</v>
      </c>
      <c r="M279" t="s">
        <v>40</v>
      </c>
      <c r="N279" t="s">
        <v>74</v>
      </c>
      <c r="O279" t="s">
        <v>680</v>
      </c>
      <c r="P279">
        <v>18.18</v>
      </c>
      <c r="Q279">
        <v>4</v>
      </c>
      <c r="R279">
        <v>0.2</v>
      </c>
      <c r="S279">
        <v>5.91</v>
      </c>
    </row>
    <row r="280" spans="1:19" x14ac:dyDescent="0.3">
      <c r="A280" t="s">
        <v>676</v>
      </c>
      <c r="B280">
        <v>2014</v>
      </c>
      <c r="C280" t="s">
        <v>43</v>
      </c>
      <c r="D280" t="s">
        <v>677</v>
      </c>
      <c r="E280">
        <v>4</v>
      </c>
      <c r="F280" t="s">
        <v>45</v>
      </c>
      <c r="G280" t="s">
        <v>678</v>
      </c>
      <c r="H280" t="s">
        <v>36</v>
      </c>
      <c r="I280" t="s">
        <v>23</v>
      </c>
      <c r="J280" t="s">
        <v>119</v>
      </c>
      <c r="K280" t="s">
        <v>120</v>
      </c>
      <c r="L280" t="s">
        <v>121</v>
      </c>
      <c r="M280" t="s">
        <v>40</v>
      </c>
      <c r="N280" t="s">
        <v>51</v>
      </c>
      <c r="O280" t="s">
        <v>681</v>
      </c>
      <c r="P280">
        <v>59.71</v>
      </c>
      <c r="Q280">
        <v>6</v>
      </c>
      <c r="R280">
        <v>0.2</v>
      </c>
      <c r="S280">
        <v>5.97</v>
      </c>
    </row>
    <row r="281" spans="1:19" x14ac:dyDescent="0.3">
      <c r="A281" t="s">
        <v>676</v>
      </c>
      <c r="B281">
        <v>2014</v>
      </c>
      <c r="C281" t="s">
        <v>43</v>
      </c>
      <c r="D281" t="s">
        <v>677</v>
      </c>
      <c r="E281">
        <v>4</v>
      </c>
      <c r="F281" t="s">
        <v>45</v>
      </c>
      <c r="G281" t="s">
        <v>678</v>
      </c>
      <c r="H281" t="s">
        <v>36</v>
      </c>
      <c r="I281" t="s">
        <v>23</v>
      </c>
      <c r="J281" t="s">
        <v>119</v>
      </c>
      <c r="K281" t="s">
        <v>120</v>
      </c>
      <c r="L281" t="s">
        <v>121</v>
      </c>
      <c r="M281" t="s">
        <v>40</v>
      </c>
      <c r="N281" t="s">
        <v>41</v>
      </c>
      <c r="O281" t="s">
        <v>682</v>
      </c>
      <c r="P281">
        <v>24.84</v>
      </c>
      <c r="Q281">
        <v>3</v>
      </c>
      <c r="R281">
        <v>0.2</v>
      </c>
      <c r="S281">
        <v>8.69</v>
      </c>
    </row>
    <row r="282" spans="1:19" x14ac:dyDescent="0.3">
      <c r="A282" t="s">
        <v>683</v>
      </c>
      <c r="B282">
        <v>2012</v>
      </c>
      <c r="C282" t="s">
        <v>124</v>
      </c>
      <c r="D282" t="s">
        <v>684</v>
      </c>
      <c r="E282">
        <v>2</v>
      </c>
      <c r="F282" t="s">
        <v>20</v>
      </c>
      <c r="G282" t="s">
        <v>367</v>
      </c>
      <c r="H282" t="s">
        <v>22</v>
      </c>
      <c r="I282" t="s">
        <v>23</v>
      </c>
      <c r="J282" t="s">
        <v>149</v>
      </c>
      <c r="K282" t="s">
        <v>86</v>
      </c>
      <c r="L282" t="s">
        <v>87</v>
      </c>
      <c r="M282" t="s">
        <v>40</v>
      </c>
      <c r="N282" t="s">
        <v>62</v>
      </c>
      <c r="O282" t="s">
        <v>685</v>
      </c>
      <c r="P282">
        <v>2.08</v>
      </c>
      <c r="Q282">
        <v>5</v>
      </c>
      <c r="R282">
        <v>0.8</v>
      </c>
      <c r="S282">
        <v>-3.43</v>
      </c>
    </row>
    <row r="283" spans="1:19" x14ac:dyDescent="0.3">
      <c r="A283" t="s">
        <v>683</v>
      </c>
      <c r="B283">
        <v>2012</v>
      </c>
      <c r="C283" t="s">
        <v>124</v>
      </c>
      <c r="D283" t="s">
        <v>684</v>
      </c>
      <c r="E283">
        <v>2</v>
      </c>
      <c r="F283" t="s">
        <v>20</v>
      </c>
      <c r="G283" t="s">
        <v>367</v>
      </c>
      <c r="H283" t="s">
        <v>22</v>
      </c>
      <c r="I283" t="s">
        <v>23</v>
      </c>
      <c r="J283" t="s">
        <v>149</v>
      </c>
      <c r="K283" t="s">
        <v>86</v>
      </c>
      <c r="L283" t="s">
        <v>87</v>
      </c>
      <c r="M283" t="s">
        <v>59</v>
      </c>
      <c r="N283" t="s">
        <v>60</v>
      </c>
      <c r="O283" t="s">
        <v>686</v>
      </c>
      <c r="P283">
        <v>1114.4000000000001</v>
      </c>
      <c r="Q283">
        <v>7</v>
      </c>
      <c r="R283">
        <v>0.2</v>
      </c>
      <c r="S283">
        <v>376.11</v>
      </c>
    </row>
    <row r="284" spans="1:19" x14ac:dyDescent="0.3">
      <c r="A284" s="1">
        <v>40950</v>
      </c>
      <c r="B284">
        <v>2012</v>
      </c>
      <c r="C284" t="s">
        <v>19</v>
      </c>
      <c r="D284" s="1">
        <v>41071</v>
      </c>
      <c r="E284">
        <v>4</v>
      </c>
      <c r="F284" t="s">
        <v>45</v>
      </c>
      <c r="G284" t="s">
        <v>687</v>
      </c>
      <c r="H284" t="s">
        <v>22</v>
      </c>
      <c r="I284" t="s">
        <v>23</v>
      </c>
      <c r="J284" t="s">
        <v>37</v>
      </c>
      <c r="K284" t="s">
        <v>38</v>
      </c>
      <c r="L284" t="s">
        <v>39</v>
      </c>
      <c r="M284" t="s">
        <v>27</v>
      </c>
      <c r="N284" t="s">
        <v>49</v>
      </c>
      <c r="O284" t="s">
        <v>688</v>
      </c>
      <c r="P284">
        <v>1038.8399999999999</v>
      </c>
      <c r="Q284">
        <v>5</v>
      </c>
      <c r="R284">
        <v>0.2</v>
      </c>
      <c r="S284">
        <v>51.94</v>
      </c>
    </row>
    <row r="285" spans="1:19" x14ac:dyDescent="0.3">
      <c r="A285" t="s">
        <v>683</v>
      </c>
      <c r="B285">
        <v>2012</v>
      </c>
      <c r="C285" t="s">
        <v>124</v>
      </c>
      <c r="D285" s="1">
        <v>40949</v>
      </c>
      <c r="E285">
        <v>6</v>
      </c>
      <c r="F285" t="s">
        <v>45</v>
      </c>
      <c r="G285" t="s">
        <v>137</v>
      </c>
      <c r="H285" t="s">
        <v>22</v>
      </c>
      <c r="I285" t="s">
        <v>23</v>
      </c>
      <c r="J285" t="s">
        <v>306</v>
      </c>
      <c r="K285" t="s">
        <v>307</v>
      </c>
      <c r="L285" t="s">
        <v>39</v>
      </c>
      <c r="M285" t="s">
        <v>40</v>
      </c>
      <c r="N285" t="s">
        <v>74</v>
      </c>
      <c r="O285" t="s">
        <v>150</v>
      </c>
      <c r="P285">
        <v>141.76</v>
      </c>
      <c r="Q285">
        <v>5</v>
      </c>
      <c r="R285">
        <v>0.2</v>
      </c>
      <c r="S285">
        <v>47.84</v>
      </c>
    </row>
    <row r="286" spans="1:19" x14ac:dyDescent="0.3">
      <c r="A286" t="s">
        <v>683</v>
      </c>
      <c r="B286">
        <v>2012</v>
      </c>
      <c r="C286" t="s">
        <v>124</v>
      </c>
      <c r="D286" s="1">
        <v>40949</v>
      </c>
      <c r="E286">
        <v>6</v>
      </c>
      <c r="F286" t="s">
        <v>45</v>
      </c>
      <c r="G286" t="s">
        <v>137</v>
      </c>
      <c r="H286" t="s">
        <v>22</v>
      </c>
      <c r="I286" t="s">
        <v>23</v>
      </c>
      <c r="J286" t="s">
        <v>306</v>
      </c>
      <c r="K286" t="s">
        <v>307</v>
      </c>
      <c r="L286" t="s">
        <v>39</v>
      </c>
      <c r="M286" t="s">
        <v>59</v>
      </c>
      <c r="N286" t="s">
        <v>133</v>
      </c>
      <c r="O286" t="s">
        <v>689</v>
      </c>
      <c r="P286">
        <v>239.8</v>
      </c>
      <c r="Q286">
        <v>5</v>
      </c>
      <c r="R286">
        <v>0.2</v>
      </c>
      <c r="S286">
        <v>47.96</v>
      </c>
    </row>
    <row r="287" spans="1:19" x14ac:dyDescent="0.3">
      <c r="A287" t="s">
        <v>683</v>
      </c>
      <c r="B287">
        <v>2012</v>
      </c>
      <c r="C287" t="s">
        <v>124</v>
      </c>
      <c r="D287" s="1">
        <v>40949</v>
      </c>
      <c r="E287">
        <v>6</v>
      </c>
      <c r="F287" t="s">
        <v>45</v>
      </c>
      <c r="G287" t="s">
        <v>137</v>
      </c>
      <c r="H287" t="s">
        <v>22</v>
      </c>
      <c r="I287" t="s">
        <v>23</v>
      </c>
      <c r="J287" t="s">
        <v>306</v>
      </c>
      <c r="K287" t="s">
        <v>307</v>
      </c>
      <c r="L287" t="s">
        <v>39</v>
      </c>
      <c r="M287" t="s">
        <v>40</v>
      </c>
      <c r="N287" t="s">
        <v>74</v>
      </c>
      <c r="O287" t="s">
        <v>690</v>
      </c>
      <c r="P287">
        <v>31.1</v>
      </c>
      <c r="Q287">
        <v>6</v>
      </c>
      <c r="R287">
        <v>0.2</v>
      </c>
      <c r="S287">
        <v>10.89</v>
      </c>
    </row>
    <row r="288" spans="1:19" x14ac:dyDescent="0.3">
      <c r="A288" t="s">
        <v>691</v>
      </c>
      <c r="B288">
        <v>2013</v>
      </c>
      <c r="C288" t="s">
        <v>76</v>
      </c>
      <c r="D288" t="s">
        <v>692</v>
      </c>
      <c r="E288">
        <v>2</v>
      </c>
      <c r="F288" t="s">
        <v>20</v>
      </c>
      <c r="G288" t="s">
        <v>693</v>
      </c>
      <c r="H288" t="s">
        <v>36</v>
      </c>
      <c r="I288" t="s">
        <v>23</v>
      </c>
      <c r="J288" t="s">
        <v>694</v>
      </c>
      <c r="K288" t="s">
        <v>48</v>
      </c>
      <c r="L288" t="s">
        <v>26</v>
      </c>
      <c r="M288" t="s">
        <v>40</v>
      </c>
      <c r="N288" t="s">
        <v>62</v>
      </c>
      <c r="O288" t="s">
        <v>695</v>
      </c>
      <c r="P288">
        <v>254.06</v>
      </c>
      <c r="Q288">
        <v>7</v>
      </c>
      <c r="R288">
        <v>0.7</v>
      </c>
      <c r="S288">
        <v>-169.37</v>
      </c>
    </row>
    <row r="289" spans="1:19" x14ac:dyDescent="0.3">
      <c r="A289" t="s">
        <v>691</v>
      </c>
      <c r="B289">
        <v>2013</v>
      </c>
      <c r="C289" t="s">
        <v>76</v>
      </c>
      <c r="D289" t="s">
        <v>692</v>
      </c>
      <c r="E289">
        <v>2</v>
      </c>
      <c r="F289" t="s">
        <v>20</v>
      </c>
      <c r="G289" t="s">
        <v>693</v>
      </c>
      <c r="H289" t="s">
        <v>36</v>
      </c>
      <c r="I289" t="s">
        <v>23</v>
      </c>
      <c r="J289" t="s">
        <v>694</v>
      </c>
      <c r="K289" t="s">
        <v>48</v>
      </c>
      <c r="L289" t="s">
        <v>26</v>
      </c>
      <c r="M289" t="s">
        <v>40</v>
      </c>
      <c r="N289" t="s">
        <v>64</v>
      </c>
      <c r="O289" t="s">
        <v>484</v>
      </c>
      <c r="P289">
        <v>194.53</v>
      </c>
      <c r="Q289">
        <v>2</v>
      </c>
      <c r="R289">
        <v>0.2</v>
      </c>
      <c r="S289">
        <v>24.32</v>
      </c>
    </row>
    <row r="290" spans="1:19" x14ac:dyDescent="0.3">
      <c r="A290" t="s">
        <v>691</v>
      </c>
      <c r="B290">
        <v>2013</v>
      </c>
      <c r="C290" t="s">
        <v>76</v>
      </c>
      <c r="D290" t="s">
        <v>692</v>
      </c>
      <c r="E290">
        <v>2</v>
      </c>
      <c r="F290" t="s">
        <v>20</v>
      </c>
      <c r="G290" t="s">
        <v>693</v>
      </c>
      <c r="H290" t="s">
        <v>36</v>
      </c>
      <c r="I290" t="s">
        <v>23</v>
      </c>
      <c r="J290" t="s">
        <v>694</v>
      </c>
      <c r="K290" t="s">
        <v>48</v>
      </c>
      <c r="L290" t="s">
        <v>26</v>
      </c>
      <c r="M290" t="s">
        <v>40</v>
      </c>
      <c r="N290" t="s">
        <v>402</v>
      </c>
      <c r="O290" t="s">
        <v>696</v>
      </c>
      <c r="P290">
        <v>961.48</v>
      </c>
      <c r="Q290">
        <v>5</v>
      </c>
      <c r="R290">
        <v>0.2</v>
      </c>
      <c r="S290">
        <v>-204.31</v>
      </c>
    </row>
    <row r="291" spans="1:19" x14ac:dyDescent="0.3">
      <c r="A291" t="s">
        <v>443</v>
      </c>
      <c r="B291">
        <v>2013</v>
      </c>
      <c r="C291" t="s">
        <v>19</v>
      </c>
      <c r="D291" t="s">
        <v>444</v>
      </c>
      <c r="E291">
        <v>4</v>
      </c>
      <c r="F291" t="s">
        <v>20</v>
      </c>
      <c r="G291" t="s">
        <v>697</v>
      </c>
      <c r="H291" t="s">
        <v>84</v>
      </c>
      <c r="I291" t="s">
        <v>23</v>
      </c>
      <c r="J291" t="s">
        <v>356</v>
      </c>
      <c r="K291" t="s">
        <v>357</v>
      </c>
      <c r="L291" t="s">
        <v>121</v>
      </c>
      <c r="M291" t="s">
        <v>40</v>
      </c>
      <c r="N291" t="s">
        <v>210</v>
      </c>
      <c r="O291" t="s">
        <v>698</v>
      </c>
      <c r="P291">
        <v>19.100000000000001</v>
      </c>
      <c r="Q291">
        <v>7</v>
      </c>
      <c r="R291">
        <v>0.2</v>
      </c>
      <c r="S291">
        <v>6.68</v>
      </c>
    </row>
    <row r="292" spans="1:19" x14ac:dyDescent="0.3">
      <c r="A292" t="s">
        <v>443</v>
      </c>
      <c r="B292">
        <v>2013</v>
      </c>
      <c r="C292" t="s">
        <v>19</v>
      </c>
      <c r="D292" t="s">
        <v>444</v>
      </c>
      <c r="E292">
        <v>4</v>
      </c>
      <c r="F292" t="s">
        <v>20</v>
      </c>
      <c r="G292" t="s">
        <v>697</v>
      </c>
      <c r="H292" t="s">
        <v>84</v>
      </c>
      <c r="I292" t="s">
        <v>23</v>
      </c>
      <c r="J292" t="s">
        <v>356</v>
      </c>
      <c r="K292" t="s">
        <v>357</v>
      </c>
      <c r="L292" t="s">
        <v>121</v>
      </c>
      <c r="M292" t="s">
        <v>40</v>
      </c>
      <c r="N292" t="s">
        <v>41</v>
      </c>
      <c r="O292" t="s">
        <v>699</v>
      </c>
      <c r="P292">
        <v>18.5</v>
      </c>
      <c r="Q292">
        <v>8</v>
      </c>
      <c r="R292">
        <v>0.2</v>
      </c>
      <c r="S292">
        <v>6.24</v>
      </c>
    </row>
    <row r="293" spans="1:19" x14ac:dyDescent="0.3">
      <c r="A293" t="s">
        <v>443</v>
      </c>
      <c r="B293">
        <v>2013</v>
      </c>
      <c r="C293" t="s">
        <v>19</v>
      </c>
      <c r="D293" t="s">
        <v>444</v>
      </c>
      <c r="E293">
        <v>4</v>
      </c>
      <c r="F293" t="s">
        <v>20</v>
      </c>
      <c r="G293" t="s">
        <v>697</v>
      </c>
      <c r="H293" t="s">
        <v>84</v>
      </c>
      <c r="I293" t="s">
        <v>23</v>
      </c>
      <c r="J293" t="s">
        <v>356</v>
      </c>
      <c r="K293" t="s">
        <v>357</v>
      </c>
      <c r="L293" t="s">
        <v>121</v>
      </c>
      <c r="M293" t="s">
        <v>59</v>
      </c>
      <c r="N293" t="s">
        <v>133</v>
      </c>
      <c r="O293" t="s">
        <v>700</v>
      </c>
      <c r="P293">
        <v>255.98</v>
      </c>
      <c r="Q293">
        <v>2</v>
      </c>
      <c r="R293">
        <v>0.2</v>
      </c>
      <c r="S293">
        <v>54.4</v>
      </c>
    </row>
    <row r="294" spans="1:19" x14ac:dyDescent="0.3">
      <c r="A294" t="s">
        <v>443</v>
      </c>
      <c r="B294">
        <v>2013</v>
      </c>
      <c r="C294" t="s">
        <v>19</v>
      </c>
      <c r="D294" t="s">
        <v>444</v>
      </c>
      <c r="E294">
        <v>4</v>
      </c>
      <c r="F294" t="s">
        <v>20</v>
      </c>
      <c r="G294" t="s">
        <v>697</v>
      </c>
      <c r="H294" t="s">
        <v>84</v>
      </c>
      <c r="I294" t="s">
        <v>23</v>
      </c>
      <c r="J294" t="s">
        <v>356</v>
      </c>
      <c r="K294" t="s">
        <v>357</v>
      </c>
      <c r="L294" t="s">
        <v>121</v>
      </c>
      <c r="M294" t="s">
        <v>27</v>
      </c>
      <c r="N294" t="s">
        <v>28</v>
      </c>
      <c r="O294" t="s">
        <v>701</v>
      </c>
      <c r="P294">
        <v>86.97</v>
      </c>
      <c r="Q294">
        <v>3</v>
      </c>
      <c r="R294">
        <v>0.5</v>
      </c>
      <c r="S294">
        <v>-48.7</v>
      </c>
    </row>
    <row r="295" spans="1:19" x14ac:dyDescent="0.3">
      <c r="A295" t="s">
        <v>373</v>
      </c>
      <c r="B295">
        <v>2011</v>
      </c>
      <c r="C295" t="s">
        <v>76</v>
      </c>
      <c r="D295" t="s">
        <v>374</v>
      </c>
      <c r="E295">
        <v>2</v>
      </c>
      <c r="F295" t="s">
        <v>151</v>
      </c>
      <c r="G295" t="s">
        <v>702</v>
      </c>
      <c r="H295" t="s">
        <v>36</v>
      </c>
      <c r="I295" t="s">
        <v>23</v>
      </c>
      <c r="J295" t="s">
        <v>703</v>
      </c>
      <c r="K295" t="s">
        <v>329</v>
      </c>
      <c r="L295" t="s">
        <v>39</v>
      </c>
      <c r="M295" t="s">
        <v>27</v>
      </c>
      <c r="N295" t="s">
        <v>55</v>
      </c>
      <c r="O295" t="s">
        <v>704</v>
      </c>
      <c r="P295">
        <v>300.42</v>
      </c>
      <c r="Q295">
        <v>8</v>
      </c>
      <c r="R295">
        <v>0.2</v>
      </c>
      <c r="S295">
        <v>78.86</v>
      </c>
    </row>
    <row r="296" spans="1:19" x14ac:dyDescent="0.3">
      <c r="A296" t="s">
        <v>373</v>
      </c>
      <c r="B296">
        <v>2011</v>
      </c>
      <c r="C296" t="s">
        <v>76</v>
      </c>
      <c r="D296" t="s">
        <v>374</v>
      </c>
      <c r="E296">
        <v>2</v>
      </c>
      <c r="F296" t="s">
        <v>151</v>
      </c>
      <c r="G296" t="s">
        <v>702</v>
      </c>
      <c r="H296" t="s">
        <v>36</v>
      </c>
      <c r="I296" t="s">
        <v>23</v>
      </c>
      <c r="J296" t="s">
        <v>703</v>
      </c>
      <c r="K296" t="s">
        <v>329</v>
      </c>
      <c r="L296" t="s">
        <v>39</v>
      </c>
      <c r="M296" t="s">
        <v>27</v>
      </c>
      <c r="N296" t="s">
        <v>30</v>
      </c>
      <c r="O296" t="s">
        <v>705</v>
      </c>
      <c r="P296">
        <v>230.35</v>
      </c>
      <c r="Q296">
        <v>3</v>
      </c>
      <c r="R296">
        <v>0.2</v>
      </c>
      <c r="S296">
        <v>20.16</v>
      </c>
    </row>
    <row r="297" spans="1:19" x14ac:dyDescent="0.3">
      <c r="A297" t="s">
        <v>373</v>
      </c>
      <c r="B297">
        <v>2011</v>
      </c>
      <c r="C297" t="s">
        <v>76</v>
      </c>
      <c r="D297" t="s">
        <v>374</v>
      </c>
      <c r="E297">
        <v>2</v>
      </c>
      <c r="F297" t="s">
        <v>151</v>
      </c>
      <c r="G297" t="s">
        <v>702</v>
      </c>
      <c r="H297" t="s">
        <v>36</v>
      </c>
      <c r="I297" t="s">
        <v>23</v>
      </c>
      <c r="J297" t="s">
        <v>703</v>
      </c>
      <c r="K297" t="s">
        <v>329</v>
      </c>
      <c r="L297" t="s">
        <v>39</v>
      </c>
      <c r="M297" t="s">
        <v>27</v>
      </c>
      <c r="N297" t="s">
        <v>55</v>
      </c>
      <c r="O297" t="s">
        <v>706</v>
      </c>
      <c r="P297">
        <v>218.35</v>
      </c>
      <c r="Q297">
        <v>3</v>
      </c>
      <c r="R297">
        <v>0.2</v>
      </c>
      <c r="S297">
        <v>-24.56</v>
      </c>
    </row>
    <row r="298" spans="1:19" x14ac:dyDescent="0.3">
      <c r="A298" t="s">
        <v>373</v>
      </c>
      <c r="B298">
        <v>2011</v>
      </c>
      <c r="C298" t="s">
        <v>76</v>
      </c>
      <c r="D298" t="s">
        <v>374</v>
      </c>
      <c r="E298">
        <v>2</v>
      </c>
      <c r="F298" t="s">
        <v>151</v>
      </c>
      <c r="G298" t="s">
        <v>702</v>
      </c>
      <c r="H298" t="s">
        <v>36</v>
      </c>
      <c r="I298" t="s">
        <v>23</v>
      </c>
      <c r="J298" t="s">
        <v>703</v>
      </c>
      <c r="K298" t="s">
        <v>329</v>
      </c>
      <c r="L298" t="s">
        <v>39</v>
      </c>
      <c r="M298" t="s">
        <v>40</v>
      </c>
      <c r="N298" t="s">
        <v>62</v>
      </c>
      <c r="O298" t="s">
        <v>707</v>
      </c>
      <c r="P298">
        <v>78.599999999999994</v>
      </c>
      <c r="Q298">
        <v>5</v>
      </c>
      <c r="R298">
        <v>0.7</v>
      </c>
      <c r="S298">
        <v>-62.88</v>
      </c>
    </row>
    <row r="299" spans="1:19" x14ac:dyDescent="0.3">
      <c r="A299" t="s">
        <v>373</v>
      </c>
      <c r="B299">
        <v>2011</v>
      </c>
      <c r="C299" t="s">
        <v>76</v>
      </c>
      <c r="D299" t="s">
        <v>374</v>
      </c>
      <c r="E299">
        <v>2</v>
      </c>
      <c r="F299" t="s">
        <v>151</v>
      </c>
      <c r="G299" t="s">
        <v>702</v>
      </c>
      <c r="H299" t="s">
        <v>36</v>
      </c>
      <c r="I299" t="s">
        <v>23</v>
      </c>
      <c r="J299" t="s">
        <v>703</v>
      </c>
      <c r="K299" t="s">
        <v>329</v>
      </c>
      <c r="L299" t="s">
        <v>39</v>
      </c>
      <c r="M299" t="s">
        <v>40</v>
      </c>
      <c r="N299" t="s">
        <v>210</v>
      </c>
      <c r="O299" t="s">
        <v>708</v>
      </c>
      <c r="P299">
        <v>27.55</v>
      </c>
      <c r="Q299">
        <v>3</v>
      </c>
      <c r="R299">
        <v>0.2</v>
      </c>
      <c r="S299">
        <v>9.3000000000000007</v>
      </c>
    </row>
    <row r="300" spans="1:19" x14ac:dyDescent="0.3">
      <c r="A300" t="s">
        <v>575</v>
      </c>
      <c r="B300">
        <v>2013</v>
      </c>
      <c r="C300" t="s">
        <v>43</v>
      </c>
      <c r="D300" s="1">
        <v>41375</v>
      </c>
      <c r="E300">
        <v>6</v>
      </c>
      <c r="F300" t="s">
        <v>45</v>
      </c>
      <c r="G300" t="s">
        <v>404</v>
      </c>
      <c r="H300" t="s">
        <v>36</v>
      </c>
      <c r="I300" t="s">
        <v>23</v>
      </c>
      <c r="J300" t="s">
        <v>709</v>
      </c>
      <c r="K300" t="s">
        <v>534</v>
      </c>
      <c r="L300" t="s">
        <v>121</v>
      </c>
      <c r="M300" t="s">
        <v>40</v>
      </c>
      <c r="N300" t="s">
        <v>74</v>
      </c>
      <c r="O300" t="s">
        <v>710</v>
      </c>
      <c r="P300">
        <v>32.4</v>
      </c>
      <c r="Q300">
        <v>5</v>
      </c>
      <c r="R300">
        <v>0</v>
      </c>
      <c r="S300">
        <v>15.55</v>
      </c>
    </row>
    <row r="301" spans="1:19" x14ac:dyDescent="0.3">
      <c r="A301" t="s">
        <v>575</v>
      </c>
      <c r="B301">
        <v>2013</v>
      </c>
      <c r="C301" t="s">
        <v>43</v>
      </c>
      <c r="D301" s="1">
        <v>41375</v>
      </c>
      <c r="E301">
        <v>6</v>
      </c>
      <c r="F301" t="s">
        <v>45</v>
      </c>
      <c r="G301" t="s">
        <v>404</v>
      </c>
      <c r="H301" t="s">
        <v>36</v>
      </c>
      <c r="I301" t="s">
        <v>23</v>
      </c>
      <c r="J301" t="s">
        <v>709</v>
      </c>
      <c r="K301" t="s">
        <v>534</v>
      </c>
      <c r="L301" t="s">
        <v>121</v>
      </c>
      <c r="M301" t="s">
        <v>40</v>
      </c>
      <c r="N301" t="s">
        <v>51</v>
      </c>
      <c r="O301" t="s">
        <v>711</v>
      </c>
      <c r="P301">
        <v>1082.48</v>
      </c>
      <c r="Q301">
        <v>8</v>
      </c>
      <c r="R301">
        <v>0</v>
      </c>
      <c r="S301">
        <v>10.82</v>
      </c>
    </row>
    <row r="302" spans="1:19" x14ac:dyDescent="0.3">
      <c r="A302" t="s">
        <v>575</v>
      </c>
      <c r="B302">
        <v>2013</v>
      </c>
      <c r="C302" t="s">
        <v>43</v>
      </c>
      <c r="D302" s="1">
        <v>41375</v>
      </c>
      <c r="E302">
        <v>6</v>
      </c>
      <c r="F302" t="s">
        <v>45</v>
      </c>
      <c r="G302" t="s">
        <v>404</v>
      </c>
      <c r="H302" t="s">
        <v>36</v>
      </c>
      <c r="I302" t="s">
        <v>23</v>
      </c>
      <c r="J302" t="s">
        <v>709</v>
      </c>
      <c r="K302" t="s">
        <v>534</v>
      </c>
      <c r="L302" t="s">
        <v>121</v>
      </c>
      <c r="M302" t="s">
        <v>40</v>
      </c>
      <c r="N302" t="s">
        <v>74</v>
      </c>
      <c r="O302" t="s">
        <v>712</v>
      </c>
      <c r="P302">
        <v>56.91</v>
      </c>
      <c r="Q302">
        <v>3</v>
      </c>
      <c r="R302">
        <v>0</v>
      </c>
      <c r="S302">
        <v>27.32</v>
      </c>
    </row>
    <row r="303" spans="1:19" x14ac:dyDescent="0.3">
      <c r="A303" t="s">
        <v>575</v>
      </c>
      <c r="B303">
        <v>2013</v>
      </c>
      <c r="C303" t="s">
        <v>43</v>
      </c>
      <c r="D303" s="1">
        <v>41375</v>
      </c>
      <c r="E303">
        <v>6</v>
      </c>
      <c r="F303" t="s">
        <v>45</v>
      </c>
      <c r="G303" t="s">
        <v>404</v>
      </c>
      <c r="H303" t="s">
        <v>36</v>
      </c>
      <c r="I303" t="s">
        <v>23</v>
      </c>
      <c r="J303" t="s">
        <v>709</v>
      </c>
      <c r="K303" t="s">
        <v>534</v>
      </c>
      <c r="L303" t="s">
        <v>121</v>
      </c>
      <c r="M303" t="s">
        <v>27</v>
      </c>
      <c r="N303" t="s">
        <v>55</v>
      </c>
      <c r="O303" t="s">
        <v>713</v>
      </c>
      <c r="P303">
        <v>77.599999999999994</v>
      </c>
      <c r="Q303">
        <v>4</v>
      </c>
      <c r="R303">
        <v>0</v>
      </c>
      <c r="S303">
        <v>38.020000000000003</v>
      </c>
    </row>
    <row r="304" spans="1:19" x14ac:dyDescent="0.3">
      <c r="A304" t="s">
        <v>575</v>
      </c>
      <c r="B304">
        <v>2013</v>
      </c>
      <c r="C304" t="s">
        <v>43</v>
      </c>
      <c r="D304" s="1">
        <v>41375</v>
      </c>
      <c r="E304">
        <v>6</v>
      </c>
      <c r="F304" t="s">
        <v>45</v>
      </c>
      <c r="G304" t="s">
        <v>404</v>
      </c>
      <c r="H304" t="s">
        <v>36</v>
      </c>
      <c r="I304" t="s">
        <v>23</v>
      </c>
      <c r="J304" t="s">
        <v>709</v>
      </c>
      <c r="K304" t="s">
        <v>534</v>
      </c>
      <c r="L304" t="s">
        <v>121</v>
      </c>
      <c r="M304" t="s">
        <v>40</v>
      </c>
      <c r="N304" t="s">
        <v>62</v>
      </c>
      <c r="O304" t="s">
        <v>714</v>
      </c>
      <c r="P304">
        <v>14.28</v>
      </c>
      <c r="Q304">
        <v>1</v>
      </c>
      <c r="R304">
        <v>0</v>
      </c>
      <c r="S304">
        <v>6.57</v>
      </c>
    </row>
    <row r="305" spans="1:19" x14ac:dyDescent="0.3">
      <c r="A305" t="s">
        <v>715</v>
      </c>
      <c r="B305">
        <v>2014</v>
      </c>
      <c r="C305" t="s">
        <v>19</v>
      </c>
      <c r="D305" t="s">
        <v>333</v>
      </c>
      <c r="E305">
        <v>4</v>
      </c>
      <c r="F305" t="s">
        <v>45</v>
      </c>
      <c r="G305" t="s">
        <v>576</v>
      </c>
      <c r="H305" t="s">
        <v>22</v>
      </c>
      <c r="I305" t="s">
        <v>23</v>
      </c>
      <c r="J305" t="s">
        <v>232</v>
      </c>
      <c r="K305" t="s">
        <v>166</v>
      </c>
      <c r="L305" t="s">
        <v>87</v>
      </c>
      <c r="M305" t="s">
        <v>27</v>
      </c>
      <c r="N305" t="s">
        <v>49</v>
      </c>
      <c r="O305" t="s">
        <v>716</v>
      </c>
      <c r="P305">
        <v>219.08</v>
      </c>
      <c r="Q305">
        <v>3</v>
      </c>
      <c r="R305">
        <v>0.5</v>
      </c>
      <c r="S305">
        <v>-131.44999999999999</v>
      </c>
    </row>
    <row r="306" spans="1:19" x14ac:dyDescent="0.3">
      <c r="A306" s="1">
        <v>41004</v>
      </c>
      <c r="B306">
        <v>2012</v>
      </c>
      <c r="C306" t="s">
        <v>96</v>
      </c>
      <c r="D306" s="1">
        <v>41157</v>
      </c>
      <c r="E306">
        <v>5</v>
      </c>
      <c r="F306" t="s">
        <v>20</v>
      </c>
      <c r="G306" t="s">
        <v>717</v>
      </c>
      <c r="H306" t="s">
        <v>36</v>
      </c>
      <c r="I306" t="s">
        <v>23</v>
      </c>
      <c r="J306" t="s">
        <v>208</v>
      </c>
      <c r="K306" t="s">
        <v>209</v>
      </c>
      <c r="L306" t="s">
        <v>121</v>
      </c>
      <c r="M306" t="s">
        <v>27</v>
      </c>
      <c r="N306" t="s">
        <v>55</v>
      </c>
      <c r="O306" t="s">
        <v>718</v>
      </c>
      <c r="P306">
        <v>26.8</v>
      </c>
      <c r="Q306">
        <v>2</v>
      </c>
      <c r="R306">
        <v>0</v>
      </c>
      <c r="S306">
        <v>12.86</v>
      </c>
    </row>
    <row r="307" spans="1:19" x14ac:dyDescent="0.3">
      <c r="A307" t="s">
        <v>719</v>
      </c>
      <c r="B307">
        <v>2011</v>
      </c>
      <c r="C307" t="s">
        <v>76</v>
      </c>
      <c r="D307" s="1">
        <v>41000</v>
      </c>
      <c r="E307">
        <v>5</v>
      </c>
      <c r="F307" t="s">
        <v>45</v>
      </c>
      <c r="G307" t="s">
        <v>258</v>
      </c>
      <c r="H307" t="s">
        <v>36</v>
      </c>
      <c r="I307" t="s">
        <v>23</v>
      </c>
      <c r="J307" t="s">
        <v>720</v>
      </c>
      <c r="K307" t="s">
        <v>188</v>
      </c>
      <c r="L307" t="s">
        <v>87</v>
      </c>
      <c r="M307" t="s">
        <v>40</v>
      </c>
      <c r="N307" t="s">
        <v>57</v>
      </c>
      <c r="O307" t="s">
        <v>721</v>
      </c>
      <c r="P307">
        <v>9.84</v>
      </c>
      <c r="Q307">
        <v>3</v>
      </c>
      <c r="R307">
        <v>0</v>
      </c>
      <c r="S307">
        <v>2.85</v>
      </c>
    </row>
    <row r="308" spans="1:19" x14ac:dyDescent="0.3">
      <c r="A308" s="1">
        <v>40549</v>
      </c>
      <c r="B308">
        <v>2011</v>
      </c>
      <c r="C308" t="s">
        <v>33</v>
      </c>
      <c r="D308" s="1">
        <v>40700</v>
      </c>
      <c r="E308">
        <v>5</v>
      </c>
      <c r="F308" t="s">
        <v>45</v>
      </c>
      <c r="G308" t="s">
        <v>722</v>
      </c>
      <c r="H308" t="s">
        <v>84</v>
      </c>
      <c r="I308" t="s">
        <v>23</v>
      </c>
      <c r="J308" t="s">
        <v>723</v>
      </c>
      <c r="K308" t="s">
        <v>534</v>
      </c>
      <c r="L308" t="s">
        <v>121</v>
      </c>
      <c r="M308" t="s">
        <v>40</v>
      </c>
      <c r="N308" t="s">
        <v>62</v>
      </c>
      <c r="O308" t="s">
        <v>724</v>
      </c>
      <c r="P308">
        <v>45.48</v>
      </c>
      <c r="Q308">
        <v>3</v>
      </c>
      <c r="R308">
        <v>0</v>
      </c>
      <c r="S308">
        <v>20.92</v>
      </c>
    </row>
    <row r="309" spans="1:19" x14ac:dyDescent="0.3">
      <c r="A309" s="1">
        <v>40549</v>
      </c>
      <c r="B309">
        <v>2011</v>
      </c>
      <c r="C309" t="s">
        <v>33</v>
      </c>
      <c r="D309" s="1">
        <v>40700</v>
      </c>
      <c r="E309">
        <v>5</v>
      </c>
      <c r="F309" t="s">
        <v>45</v>
      </c>
      <c r="G309" t="s">
        <v>722</v>
      </c>
      <c r="H309" t="s">
        <v>84</v>
      </c>
      <c r="I309" t="s">
        <v>23</v>
      </c>
      <c r="J309" t="s">
        <v>723</v>
      </c>
      <c r="K309" t="s">
        <v>534</v>
      </c>
      <c r="L309" t="s">
        <v>121</v>
      </c>
      <c r="M309" t="s">
        <v>40</v>
      </c>
      <c r="N309" t="s">
        <v>57</v>
      </c>
      <c r="O309" t="s">
        <v>725</v>
      </c>
      <c r="P309">
        <v>289.2</v>
      </c>
      <c r="Q309">
        <v>6</v>
      </c>
      <c r="R309">
        <v>0</v>
      </c>
      <c r="S309">
        <v>83.87</v>
      </c>
    </row>
    <row r="310" spans="1:19" x14ac:dyDescent="0.3">
      <c r="A310" t="s">
        <v>68</v>
      </c>
      <c r="B310">
        <v>2014</v>
      </c>
      <c r="C310" t="s">
        <v>69</v>
      </c>
      <c r="D310" t="s">
        <v>726</v>
      </c>
      <c r="E310">
        <v>2</v>
      </c>
      <c r="F310" t="s">
        <v>151</v>
      </c>
      <c r="G310" t="s">
        <v>727</v>
      </c>
      <c r="H310" t="s">
        <v>22</v>
      </c>
      <c r="I310" t="s">
        <v>23</v>
      </c>
      <c r="J310" t="s">
        <v>728</v>
      </c>
      <c r="K310" t="s">
        <v>241</v>
      </c>
      <c r="L310" t="s">
        <v>26</v>
      </c>
      <c r="M310" t="s">
        <v>40</v>
      </c>
      <c r="N310" t="s">
        <v>57</v>
      </c>
      <c r="O310" t="s">
        <v>729</v>
      </c>
      <c r="P310">
        <v>4.8899999999999997</v>
      </c>
      <c r="Q310">
        <v>1</v>
      </c>
      <c r="R310">
        <v>0</v>
      </c>
      <c r="S310">
        <v>2</v>
      </c>
    </row>
    <row r="311" spans="1:19" x14ac:dyDescent="0.3">
      <c r="A311" t="s">
        <v>730</v>
      </c>
      <c r="B311">
        <v>2013</v>
      </c>
      <c r="C311" t="s">
        <v>124</v>
      </c>
      <c r="D311" t="s">
        <v>731</v>
      </c>
      <c r="E311">
        <v>2</v>
      </c>
      <c r="F311" t="s">
        <v>20</v>
      </c>
      <c r="G311" t="s">
        <v>732</v>
      </c>
      <c r="H311" t="s">
        <v>36</v>
      </c>
      <c r="I311" t="s">
        <v>23</v>
      </c>
      <c r="J311" t="s">
        <v>733</v>
      </c>
      <c r="K311" t="s">
        <v>329</v>
      </c>
      <c r="L311" t="s">
        <v>39</v>
      </c>
      <c r="M311" t="s">
        <v>27</v>
      </c>
      <c r="N311" t="s">
        <v>55</v>
      </c>
      <c r="O311" t="s">
        <v>734</v>
      </c>
      <c r="P311">
        <v>15.14</v>
      </c>
      <c r="Q311">
        <v>4</v>
      </c>
      <c r="R311">
        <v>0.2</v>
      </c>
      <c r="S311">
        <v>3.59</v>
      </c>
    </row>
    <row r="312" spans="1:19" x14ac:dyDescent="0.3">
      <c r="A312" t="s">
        <v>730</v>
      </c>
      <c r="B312">
        <v>2013</v>
      </c>
      <c r="C312" t="s">
        <v>124</v>
      </c>
      <c r="D312" t="s">
        <v>731</v>
      </c>
      <c r="E312">
        <v>2</v>
      </c>
      <c r="F312" t="s">
        <v>20</v>
      </c>
      <c r="G312" t="s">
        <v>732</v>
      </c>
      <c r="H312" t="s">
        <v>36</v>
      </c>
      <c r="I312" t="s">
        <v>23</v>
      </c>
      <c r="J312" t="s">
        <v>733</v>
      </c>
      <c r="K312" t="s">
        <v>329</v>
      </c>
      <c r="L312" t="s">
        <v>39</v>
      </c>
      <c r="M312" t="s">
        <v>27</v>
      </c>
      <c r="N312" t="s">
        <v>30</v>
      </c>
      <c r="O312" t="s">
        <v>735</v>
      </c>
      <c r="P312">
        <v>466.77</v>
      </c>
      <c r="Q312">
        <v>2</v>
      </c>
      <c r="R312">
        <v>0.2</v>
      </c>
      <c r="S312">
        <v>52.51</v>
      </c>
    </row>
    <row r="313" spans="1:19" x14ac:dyDescent="0.3">
      <c r="A313" t="s">
        <v>730</v>
      </c>
      <c r="B313">
        <v>2013</v>
      </c>
      <c r="C313" t="s">
        <v>124</v>
      </c>
      <c r="D313" t="s">
        <v>731</v>
      </c>
      <c r="E313">
        <v>2</v>
      </c>
      <c r="F313" t="s">
        <v>20</v>
      </c>
      <c r="G313" t="s">
        <v>732</v>
      </c>
      <c r="H313" t="s">
        <v>36</v>
      </c>
      <c r="I313" t="s">
        <v>23</v>
      </c>
      <c r="J313" t="s">
        <v>733</v>
      </c>
      <c r="K313" t="s">
        <v>329</v>
      </c>
      <c r="L313" t="s">
        <v>39</v>
      </c>
      <c r="M313" t="s">
        <v>27</v>
      </c>
      <c r="N313" t="s">
        <v>55</v>
      </c>
      <c r="O313" t="s">
        <v>736</v>
      </c>
      <c r="P313">
        <v>15.23</v>
      </c>
      <c r="Q313">
        <v>1</v>
      </c>
      <c r="R313">
        <v>0.2</v>
      </c>
      <c r="S313">
        <v>1.71</v>
      </c>
    </row>
    <row r="314" spans="1:19" x14ac:dyDescent="0.3">
      <c r="A314" t="s">
        <v>730</v>
      </c>
      <c r="B314">
        <v>2013</v>
      </c>
      <c r="C314" t="s">
        <v>124</v>
      </c>
      <c r="D314" t="s">
        <v>731</v>
      </c>
      <c r="E314">
        <v>2</v>
      </c>
      <c r="F314" t="s">
        <v>20</v>
      </c>
      <c r="G314" t="s">
        <v>732</v>
      </c>
      <c r="H314" t="s">
        <v>36</v>
      </c>
      <c r="I314" t="s">
        <v>23</v>
      </c>
      <c r="J314" t="s">
        <v>733</v>
      </c>
      <c r="K314" t="s">
        <v>329</v>
      </c>
      <c r="L314" t="s">
        <v>39</v>
      </c>
      <c r="M314" t="s">
        <v>40</v>
      </c>
      <c r="N314" t="s">
        <v>41</v>
      </c>
      <c r="O314" t="s">
        <v>737</v>
      </c>
      <c r="P314">
        <v>6.26</v>
      </c>
      <c r="Q314">
        <v>3</v>
      </c>
      <c r="R314">
        <v>0.2</v>
      </c>
      <c r="S314">
        <v>2.04</v>
      </c>
    </row>
    <row r="315" spans="1:19" x14ac:dyDescent="0.3">
      <c r="A315" t="s">
        <v>738</v>
      </c>
      <c r="B315">
        <v>2011</v>
      </c>
      <c r="C315" t="s">
        <v>124</v>
      </c>
      <c r="D315" s="1">
        <v>40612</v>
      </c>
      <c r="E315">
        <v>6</v>
      </c>
      <c r="F315" t="s">
        <v>45</v>
      </c>
      <c r="G315" t="s">
        <v>739</v>
      </c>
      <c r="H315" t="s">
        <v>36</v>
      </c>
      <c r="I315" t="s">
        <v>23</v>
      </c>
      <c r="J315" t="s">
        <v>740</v>
      </c>
      <c r="K315" t="s">
        <v>534</v>
      </c>
      <c r="L315" t="s">
        <v>121</v>
      </c>
      <c r="M315" t="s">
        <v>27</v>
      </c>
      <c r="N315" t="s">
        <v>55</v>
      </c>
      <c r="O315" t="s">
        <v>741</v>
      </c>
      <c r="P315">
        <v>87.54</v>
      </c>
      <c r="Q315">
        <v>3</v>
      </c>
      <c r="R315">
        <v>0</v>
      </c>
      <c r="S315">
        <v>37.64</v>
      </c>
    </row>
    <row r="316" spans="1:19" x14ac:dyDescent="0.3">
      <c r="A316" s="1">
        <v>40794</v>
      </c>
      <c r="B316">
        <v>2011</v>
      </c>
      <c r="C316" t="s">
        <v>103</v>
      </c>
      <c r="D316" t="s">
        <v>742</v>
      </c>
      <c r="E316">
        <v>7</v>
      </c>
      <c r="F316" t="s">
        <v>45</v>
      </c>
      <c r="G316" t="s">
        <v>743</v>
      </c>
      <c r="H316" t="s">
        <v>36</v>
      </c>
      <c r="I316" t="s">
        <v>23</v>
      </c>
      <c r="J316" t="s">
        <v>744</v>
      </c>
      <c r="K316" t="s">
        <v>48</v>
      </c>
      <c r="L316" t="s">
        <v>26</v>
      </c>
      <c r="M316" t="s">
        <v>59</v>
      </c>
      <c r="N316" t="s">
        <v>60</v>
      </c>
      <c r="O316" t="s">
        <v>745</v>
      </c>
      <c r="P316">
        <v>178.38</v>
      </c>
      <c r="Q316">
        <v>2</v>
      </c>
      <c r="R316">
        <v>0.2</v>
      </c>
      <c r="S316">
        <v>22.3</v>
      </c>
    </row>
    <row r="317" spans="1:19" x14ac:dyDescent="0.3">
      <c r="A317" s="1">
        <v>40794</v>
      </c>
      <c r="B317">
        <v>2011</v>
      </c>
      <c r="C317" t="s">
        <v>103</v>
      </c>
      <c r="D317" t="s">
        <v>742</v>
      </c>
      <c r="E317">
        <v>7</v>
      </c>
      <c r="F317" t="s">
        <v>45</v>
      </c>
      <c r="G317" t="s">
        <v>743</v>
      </c>
      <c r="H317" t="s">
        <v>36</v>
      </c>
      <c r="I317" t="s">
        <v>23</v>
      </c>
      <c r="J317" t="s">
        <v>744</v>
      </c>
      <c r="K317" t="s">
        <v>48</v>
      </c>
      <c r="L317" t="s">
        <v>26</v>
      </c>
      <c r="M317" t="s">
        <v>40</v>
      </c>
      <c r="N317" t="s">
        <v>74</v>
      </c>
      <c r="O317" t="s">
        <v>746</v>
      </c>
      <c r="P317">
        <v>15.55</v>
      </c>
      <c r="Q317">
        <v>3</v>
      </c>
      <c r="R317">
        <v>0.2</v>
      </c>
      <c r="S317">
        <v>5.44</v>
      </c>
    </row>
    <row r="318" spans="1:19" x14ac:dyDescent="0.3">
      <c r="A318" t="s">
        <v>374</v>
      </c>
      <c r="B318">
        <v>2011</v>
      </c>
      <c r="C318" t="s">
        <v>76</v>
      </c>
      <c r="D318" t="s">
        <v>719</v>
      </c>
      <c r="E318">
        <v>2</v>
      </c>
      <c r="F318" t="s">
        <v>151</v>
      </c>
      <c r="G318" t="s">
        <v>747</v>
      </c>
      <c r="H318" t="s">
        <v>36</v>
      </c>
      <c r="I318" t="s">
        <v>23</v>
      </c>
      <c r="J318" t="s">
        <v>119</v>
      </c>
      <c r="K318" t="s">
        <v>120</v>
      </c>
      <c r="L318" t="s">
        <v>121</v>
      </c>
      <c r="M318" t="s">
        <v>40</v>
      </c>
      <c r="N318" t="s">
        <v>57</v>
      </c>
      <c r="O318" t="s">
        <v>748</v>
      </c>
      <c r="P318">
        <v>99.14</v>
      </c>
      <c r="Q318">
        <v>4</v>
      </c>
      <c r="R318">
        <v>0.2</v>
      </c>
      <c r="S318">
        <v>8.67</v>
      </c>
    </row>
    <row r="319" spans="1:19" x14ac:dyDescent="0.3">
      <c r="A319" s="1">
        <v>40644</v>
      </c>
      <c r="B319">
        <v>2011</v>
      </c>
      <c r="C319" t="s">
        <v>19</v>
      </c>
      <c r="D319" s="1">
        <v>40797</v>
      </c>
      <c r="E319">
        <v>5</v>
      </c>
      <c r="F319" t="s">
        <v>45</v>
      </c>
      <c r="G319" t="s">
        <v>749</v>
      </c>
      <c r="H319" t="s">
        <v>84</v>
      </c>
      <c r="I319" t="s">
        <v>23</v>
      </c>
      <c r="J319" t="s">
        <v>208</v>
      </c>
      <c r="K319" t="s">
        <v>209</v>
      </c>
      <c r="L319" t="s">
        <v>121</v>
      </c>
      <c r="M319" t="s">
        <v>27</v>
      </c>
      <c r="N319" t="s">
        <v>30</v>
      </c>
      <c r="O319" t="s">
        <v>750</v>
      </c>
      <c r="P319">
        <v>135.88</v>
      </c>
      <c r="Q319">
        <v>1</v>
      </c>
      <c r="R319">
        <v>0.1</v>
      </c>
      <c r="S319">
        <v>24.16</v>
      </c>
    </row>
    <row r="320" spans="1:19" x14ac:dyDescent="0.3">
      <c r="A320" s="1">
        <v>40644</v>
      </c>
      <c r="B320">
        <v>2011</v>
      </c>
      <c r="C320" t="s">
        <v>19</v>
      </c>
      <c r="D320" s="1">
        <v>40797</v>
      </c>
      <c r="E320">
        <v>5</v>
      </c>
      <c r="F320" t="s">
        <v>45</v>
      </c>
      <c r="G320" t="s">
        <v>749</v>
      </c>
      <c r="H320" t="s">
        <v>84</v>
      </c>
      <c r="I320" t="s">
        <v>23</v>
      </c>
      <c r="J320" t="s">
        <v>208</v>
      </c>
      <c r="K320" t="s">
        <v>209</v>
      </c>
      <c r="L320" t="s">
        <v>121</v>
      </c>
      <c r="M320" t="s">
        <v>59</v>
      </c>
      <c r="N320" t="s">
        <v>465</v>
      </c>
      <c r="O320" t="s">
        <v>751</v>
      </c>
      <c r="P320">
        <v>3991.98</v>
      </c>
      <c r="Q320">
        <v>2</v>
      </c>
      <c r="R320">
        <v>0</v>
      </c>
      <c r="S320">
        <v>1995.99</v>
      </c>
    </row>
    <row r="321" spans="1:19" x14ac:dyDescent="0.3">
      <c r="A321" s="1">
        <v>40644</v>
      </c>
      <c r="B321">
        <v>2011</v>
      </c>
      <c r="C321" t="s">
        <v>19</v>
      </c>
      <c r="D321" s="1">
        <v>40797</v>
      </c>
      <c r="E321">
        <v>5</v>
      </c>
      <c r="F321" t="s">
        <v>45</v>
      </c>
      <c r="G321" t="s">
        <v>749</v>
      </c>
      <c r="H321" t="s">
        <v>84</v>
      </c>
      <c r="I321" t="s">
        <v>23</v>
      </c>
      <c r="J321" t="s">
        <v>208</v>
      </c>
      <c r="K321" t="s">
        <v>209</v>
      </c>
      <c r="L321" t="s">
        <v>121</v>
      </c>
      <c r="M321" t="s">
        <v>59</v>
      </c>
      <c r="N321" t="s">
        <v>60</v>
      </c>
      <c r="O321" t="s">
        <v>167</v>
      </c>
      <c r="P321">
        <v>275.94</v>
      </c>
      <c r="Q321">
        <v>6</v>
      </c>
      <c r="R321">
        <v>0</v>
      </c>
      <c r="S321">
        <v>80.02</v>
      </c>
    </row>
    <row r="322" spans="1:19" x14ac:dyDescent="0.3">
      <c r="A322" s="1">
        <v>40644</v>
      </c>
      <c r="B322">
        <v>2011</v>
      </c>
      <c r="C322" t="s">
        <v>19</v>
      </c>
      <c r="D322" s="1">
        <v>40797</v>
      </c>
      <c r="E322">
        <v>5</v>
      </c>
      <c r="F322" t="s">
        <v>45</v>
      </c>
      <c r="G322" t="s">
        <v>749</v>
      </c>
      <c r="H322" t="s">
        <v>84</v>
      </c>
      <c r="I322" t="s">
        <v>23</v>
      </c>
      <c r="J322" t="s">
        <v>208</v>
      </c>
      <c r="K322" t="s">
        <v>209</v>
      </c>
      <c r="L322" t="s">
        <v>121</v>
      </c>
      <c r="M322" t="s">
        <v>59</v>
      </c>
      <c r="N322" t="s">
        <v>133</v>
      </c>
      <c r="O322" t="s">
        <v>752</v>
      </c>
      <c r="P322">
        <v>360</v>
      </c>
      <c r="Q322">
        <v>4</v>
      </c>
      <c r="R322">
        <v>0</v>
      </c>
      <c r="S322">
        <v>129.6</v>
      </c>
    </row>
    <row r="323" spans="1:19" x14ac:dyDescent="0.3">
      <c r="A323" s="1">
        <v>40644</v>
      </c>
      <c r="B323">
        <v>2011</v>
      </c>
      <c r="C323" t="s">
        <v>19</v>
      </c>
      <c r="D323" s="1">
        <v>40797</v>
      </c>
      <c r="E323">
        <v>5</v>
      </c>
      <c r="F323" t="s">
        <v>45</v>
      </c>
      <c r="G323" t="s">
        <v>749</v>
      </c>
      <c r="H323" t="s">
        <v>84</v>
      </c>
      <c r="I323" t="s">
        <v>23</v>
      </c>
      <c r="J323" t="s">
        <v>208</v>
      </c>
      <c r="K323" t="s">
        <v>209</v>
      </c>
      <c r="L323" t="s">
        <v>121</v>
      </c>
      <c r="M323" t="s">
        <v>40</v>
      </c>
      <c r="N323" t="s">
        <v>51</v>
      </c>
      <c r="O323" t="s">
        <v>385</v>
      </c>
      <c r="P323">
        <v>43.57</v>
      </c>
      <c r="Q323">
        <v>1</v>
      </c>
      <c r="R323">
        <v>0</v>
      </c>
      <c r="S323">
        <v>13.07</v>
      </c>
    </row>
    <row r="324" spans="1:19" x14ac:dyDescent="0.3">
      <c r="A324" t="s">
        <v>477</v>
      </c>
      <c r="B324">
        <v>2011</v>
      </c>
      <c r="C324" t="s">
        <v>124</v>
      </c>
      <c r="D324" t="s">
        <v>753</v>
      </c>
      <c r="E324">
        <v>5</v>
      </c>
      <c r="F324" t="s">
        <v>45</v>
      </c>
      <c r="G324" t="s">
        <v>754</v>
      </c>
      <c r="H324" t="s">
        <v>36</v>
      </c>
      <c r="I324" t="s">
        <v>23</v>
      </c>
      <c r="J324" t="s">
        <v>755</v>
      </c>
      <c r="K324" t="s">
        <v>38</v>
      </c>
      <c r="L324" t="s">
        <v>39</v>
      </c>
      <c r="M324" t="s">
        <v>40</v>
      </c>
      <c r="N324" t="s">
        <v>210</v>
      </c>
      <c r="O324" t="s">
        <v>756</v>
      </c>
      <c r="P324">
        <v>7.16</v>
      </c>
      <c r="Q324">
        <v>2</v>
      </c>
      <c r="R324">
        <v>0</v>
      </c>
      <c r="S324">
        <v>3.58</v>
      </c>
    </row>
    <row r="325" spans="1:19" x14ac:dyDescent="0.3">
      <c r="A325" t="s">
        <v>757</v>
      </c>
      <c r="B325">
        <v>2013</v>
      </c>
      <c r="C325" t="s">
        <v>69</v>
      </c>
      <c r="D325" t="s">
        <v>758</v>
      </c>
      <c r="E325">
        <v>4</v>
      </c>
      <c r="F325" t="s">
        <v>45</v>
      </c>
      <c r="G325" t="s">
        <v>759</v>
      </c>
      <c r="H325" t="s">
        <v>36</v>
      </c>
      <c r="I325" t="s">
        <v>23</v>
      </c>
      <c r="J325" t="s">
        <v>760</v>
      </c>
      <c r="K325" t="s">
        <v>38</v>
      </c>
      <c r="L325" t="s">
        <v>39</v>
      </c>
      <c r="M325" t="s">
        <v>40</v>
      </c>
      <c r="N325" t="s">
        <v>62</v>
      </c>
      <c r="O325" t="s">
        <v>707</v>
      </c>
      <c r="P325">
        <v>251.52</v>
      </c>
      <c r="Q325">
        <v>6</v>
      </c>
      <c r="R325">
        <v>0.2</v>
      </c>
      <c r="S325">
        <v>81.739999999999995</v>
      </c>
    </row>
    <row r="326" spans="1:19" x14ac:dyDescent="0.3">
      <c r="A326" t="s">
        <v>757</v>
      </c>
      <c r="B326">
        <v>2013</v>
      </c>
      <c r="C326" t="s">
        <v>69</v>
      </c>
      <c r="D326" t="s">
        <v>758</v>
      </c>
      <c r="E326">
        <v>4</v>
      </c>
      <c r="F326" t="s">
        <v>45</v>
      </c>
      <c r="G326" t="s">
        <v>759</v>
      </c>
      <c r="H326" t="s">
        <v>36</v>
      </c>
      <c r="I326" t="s">
        <v>23</v>
      </c>
      <c r="J326" t="s">
        <v>760</v>
      </c>
      <c r="K326" t="s">
        <v>38</v>
      </c>
      <c r="L326" t="s">
        <v>39</v>
      </c>
      <c r="M326" t="s">
        <v>59</v>
      </c>
      <c r="N326" t="s">
        <v>133</v>
      </c>
      <c r="O326" t="s">
        <v>761</v>
      </c>
      <c r="P326">
        <v>99.99</v>
      </c>
      <c r="Q326">
        <v>1</v>
      </c>
      <c r="R326">
        <v>0</v>
      </c>
      <c r="S326">
        <v>35</v>
      </c>
    </row>
    <row r="327" spans="1:19" x14ac:dyDescent="0.3">
      <c r="A327" s="1">
        <v>41740</v>
      </c>
      <c r="B327">
        <v>2014</v>
      </c>
      <c r="C327" t="s">
        <v>19</v>
      </c>
      <c r="D327" s="1">
        <v>41801</v>
      </c>
      <c r="E327">
        <v>2</v>
      </c>
      <c r="F327" t="s">
        <v>20</v>
      </c>
      <c r="G327" t="s">
        <v>762</v>
      </c>
      <c r="H327" t="s">
        <v>36</v>
      </c>
      <c r="I327" t="s">
        <v>23</v>
      </c>
      <c r="J327" t="s">
        <v>763</v>
      </c>
      <c r="K327" t="s">
        <v>254</v>
      </c>
      <c r="L327" t="s">
        <v>26</v>
      </c>
      <c r="M327" t="s">
        <v>27</v>
      </c>
      <c r="N327" t="s">
        <v>55</v>
      </c>
      <c r="O327" t="s">
        <v>764</v>
      </c>
      <c r="P327">
        <v>15.99</v>
      </c>
      <c r="Q327">
        <v>1</v>
      </c>
      <c r="R327">
        <v>0.2</v>
      </c>
      <c r="S327">
        <v>1</v>
      </c>
    </row>
    <row r="328" spans="1:19" x14ac:dyDescent="0.3">
      <c r="A328" t="s">
        <v>765</v>
      </c>
      <c r="B328">
        <v>2013</v>
      </c>
      <c r="C328" t="s">
        <v>103</v>
      </c>
      <c r="D328" s="1">
        <v>41314</v>
      </c>
      <c r="E328">
        <v>2</v>
      </c>
      <c r="F328" t="s">
        <v>151</v>
      </c>
      <c r="G328" t="s">
        <v>766</v>
      </c>
      <c r="H328" t="s">
        <v>22</v>
      </c>
      <c r="I328" t="s">
        <v>23</v>
      </c>
      <c r="J328" t="s">
        <v>119</v>
      </c>
      <c r="K328" t="s">
        <v>120</v>
      </c>
      <c r="L328" t="s">
        <v>121</v>
      </c>
      <c r="M328" t="s">
        <v>59</v>
      </c>
      <c r="N328" t="s">
        <v>60</v>
      </c>
      <c r="O328" t="s">
        <v>767</v>
      </c>
      <c r="P328">
        <v>290.89999999999998</v>
      </c>
      <c r="Q328">
        <v>3</v>
      </c>
      <c r="R328">
        <v>0.4</v>
      </c>
      <c r="S328">
        <v>-67.88</v>
      </c>
    </row>
    <row r="329" spans="1:19" x14ac:dyDescent="0.3">
      <c r="A329" t="s">
        <v>765</v>
      </c>
      <c r="B329">
        <v>2013</v>
      </c>
      <c r="C329" t="s">
        <v>103</v>
      </c>
      <c r="D329" s="1">
        <v>41314</v>
      </c>
      <c r="E329">
        <v>2</v>
      </c>
      <c r="F329" t="s">
        <v>151</v>
      </c>
      <c r="G329" t="s">
        <v>766</v>
      </c>
      <c r="H329" t="s">
        <v>22</v>
      </c>
      <c r="I329" t="s">
        <v>23</v>
      </c>
      <c r="J329" t="s">
        <v>119</v>
      </c>
      <c r="K329" t="s">
        <v>120</v>
      </c>
      <c r="L329" t="s">
        <v>121</v>
      </c>
      <c r="M329" t="s">
        <v>40</v>
      </c>
      <c r="N329" t="s">
        <v>51</v>
      </c>
      <c r="O329" t="s">
        <v>768</v>
      </c>
      <c r="P329">
        <v>54.22</v>
      </c>
      <c r="Q329">
        <v>2</v>
      </c>
      <c r="R329">
        <v>0.2</v>
      </c>
      <c r="S329">
        <v>3.39</v>
      </c>
    </row>
    <row r="330" spans="1:19" x14ac:dyDescent="0.3">
      <c r="A330" t="s">
        <v>765</v>
      </c>
      <c r="B330">
        <v>2013</v>
      </c>
      <c r="C330" t="s">
        <v>103</v>
      </c>
      <c r="D330" s="1">
        <v>41314</v>
      </c>
      <c r="E330">
        <v>2</v>
      </c>
      <c r="F330" t="s">
        <v>151</v>
      </c>
      <c r="G330" t="s">
        <v>766</v>
      </c>
      <c r="H330" t="s">
        <v>22</v>
      </c>
      <c r="I330" t="s">
        <v>23</v>
      </c>
      <c r="J330" t="s">
        <v>119</v>
      </c>
      <c r="K330" t="s">
        <v>120</v>
      </c>
      <c r="L330" t="s">
        <v>121</v>
      </c>
      <c r="M330" t="s">
        <v>27</v>
      </c>
      <c r="N330" t="s">
        <v>30</v>
      </c>
      <c r="O330" t="s">
        <v>769</v>
      </c>
      <c r="P330">
        <v>786.74</v>
      </c>
      <c r="Q330">
        <v>4</v>
      </c>
      <c r="R330">
        <v>0.3</v>
      </c>
      <c r="S330">
        <v>-258.5</v>
      </c>
    </row>
    <row r="331" spans="1:19" x14ac:dyDescent="0.3">
      <c r="A331" t="s">
        <v>765</v>
      </c>
      <c r="B331">
        <v>2013</v>
      </c>
      <c r="C331" t="s">
        <v>103</v>
      </c>
      <c r="D331" s="1">
        <v>41314</v>
      </c>
      <c r="E331">
        <v>2</v>
      </c>
      <c r="F331" t="s">
        <v>151</v>
      </c>
      <c r="G331" t="s">
        <v>766</v>
      </c>
      <c r="H331" t="s">
        <v>22</v>
      </c>
      <c r="I331" t="s">
        <v>23</v>
      </c>
      <c r="J331" t="s">
        <v>119</v>
      </c>
      <c r="K331" t="s">
        <v>120</v>
      </c>
      <c r="L331" t="s">
        <v>121</v>
      </c>
      <c r="M331" t="s">
        <v>40</v>
      </c>
      <c r="N331" t="s">
        <v>41</v>
      </c>
      <c r="O331" t="s">
        <v>770</v>
      </c>
      <c r="P331">
        <v>100.24</v>
      </c>
      <c r="Q331">
        <v>10</v>
      </c>
      <c r="R331">
        <v>0.2</v>
      </c>
      <c r="S331">
        <v>33.83</v>
      </c>
    </row>
    <row r="332" spans="1:19" x14ac:dyDescent="0.3">
      <c r="A332" t="s">
        <v>765</v>
      </c>
      <c r="B332">
        <v>2013</v>
      </c>
      <c r="C332" t="s">
        <v>103</v>
      </c>
      <c r="D332" s="1">
        <v>41314</v>
      </c>
      <c r="E332">
        <v>2</v>
      </c>
      <c r="F332" t="s">
        <v>151</v>
      </c>
      <c r="G332" t="s">
        <v>766</v>
      </c>
      <c r="H332" t="s">
        <v>22</v>
      </c>
      <c r="I332" t="s">
        <v>23</v>
      </c>
      <c r="J332" t="s">
        <v>119</v>
      </c>
      <c r="K332" t="s">
        <v>120</v>
      </c>
      <c r="L332" t="s">
        <v>121</v>
      </c>
      <c r="M332" t="s">
        <v>40</v>
      </c>
      <c r="N332" t="s">
        <v>62</v>
      </c>
      <c r="O332" t="s">
        <v>771</v>
      </c>
      <c r="P332">
        <v>37.76</v>
      </c>
      <c r="Q332">
        <v>6</v>
      </c>
      <c r="R332">
        <v>0.7</v>
      </c>
      <c r="S332">
        <v>-27.69</v>
      </c>
    </row>
    <row r="333" spans="1:19" x14ac:dyDescent="0.3">
      <c r="A333" t="s">
        <v>772</v>
      </c>
      <c r="B333">
        <v>2013</v>
      </c>
      <c r="C333" t="s">
        <v>69</v>
      </c>
      <c r="D333" t="s">
        <v>773</v>
      </c>
      <c r="E333">
        <v>4</v>
      </c>
      <c r="F333" t="s">
        <v>20</v>
      </c>
      <c r="G333" t="s">
        <v>774</v>
      </c>
      <c r="H333" t="s">
        <v>22</v>
      </c>
      <c r="I333" t="s">
        <v>23</v>
      </c>
      <c r="J333" t="s">
        <v>119</v>
      </c>
      <c r="K333" t="s">
        <v>120</v>
      </c>
      <c r="L333" t="s">
        <v>121</v>
      </c>
      <c r="M333" t="s">
        <v>59</v>
      </c>
      <c r="N333" t="s">
        <v>60</v>
      </c>
      <c r="O333" t="s">
        <v>775</v>
      </c>
      <c r="P333">
        <v>82.8</v>
      </c>
      <c r="Q333">
        <v>2</v>
      </c>
      <c r="R333">
        <v>0.4</v>
      </c>
      <c r="S333">
        <v>-20.7</v>
      </c>
    </row>
    <row r="334" spans="1:19" x14ac:dyDescent="0.3">
      <c r="A334" t="s">
        <v>772</v>
      </c>
      <c r="B334">
        <v>2013</v>
      </c>
      <c r="C334" t="s">
        <v>69</v>
      </c>
      <c r="D334" t="s">
        <v>773</v>
      </c>
      <c r="E334">
        <v>4</v>
      </c>
      <c r="F334" t="s">
        <v>20</v>
      </c>
      <c r="G334" t="s">
        <v>774</v>
      </c>
      <c r="H334" t="s">
        <v>22</v>
      </c>
      <c r="I334" t="s">
        <v>23</v>
      </c>
      <c r="J334" t="s">
        <v>119</v>
      </c>
      <c r="K334" t="s">
        <v>120</v>
      </c>
      <c r="L334" t="s">
        <v>121</v>
      </c>
      <c r="M334" t="s">
        <v>40</v>
      </c>
      <c r="N334" t="s">
        <v>62</v>
      </c>
      <c r="O334" t="s">
        <v>776</v>
      </c>
      <c r="P334">
        <v>20.72</v>
      </c>
      <c r="Q334">
        <v>2</v>
      </c>
      <c r="R334">
        <v>0.7</v>
      </c>
      <c r="S334">
        <v>-13.82</v>
      </c>
    </row>
    <row r="335" spans="1:19" x14ac:dyDescent="0.3">
      <c r="A335" t="s">
        <v>772</v>
      </c>
      <c r="B335">
        <v>2013</v>
      </c>
      <c r="C335" t="s">
        <v>69</v>
      </c>
      <c r="D335" t="s">
        <v>773</v>
      </c>
      <c r="E335">
        <v>4</v>
      </c>
      <c r="F335" t="s">
        <v>20</v>
      </c>
      <c r="G335" t="s">
        <v>774</v>
      </c>
      <c r="H335" t="s">
        <v>22</v>
      </c>
      <c r="I335" t="s">
        <v>23</v>
      </c>
      <c r="J335" t="s">
        <v>119</v>
      </c>
      <c r="K335" t="s">
        <v>120</v>
      </c>
      <c r="L335" t="s">
        <v>121</v>
      </c>
      <c r="M335" t="s">
        <v>40</v>
      </c>
      <c r="N335" t="s">
        <v>62</v>
      </c>
      <c r="O335" t="s">
        <v>777</v>
      </c>
      <c r="P335">
        <v>4.9000000000000004</v>
      </c>
      <c r="Q335">
        <v>3</v>
      </c>
      <c r="R335">
        <v>0.7</v>
      </c>
      <c r="S335">
        <v>-3.43</v>
      </c>
    </row>
    <row r="336" spans="1:19" x14ac:dyDescent="0.3">
      <c r="A336" s="1">
        <v>40917</v>
      </c>
      <c r="B336">
        <v>2012</v>
      </c>
      <c r="C336" t="s">
        <v>124</v>
      </c>
      <c r="D336" s="1">
        <v>41008</v>
      </c>
      <c r="E336">
        <v>3</v>
      </c>
      <c r="F336" t="s">
        <v>20</v>
      </c>
      <c r="G336" t="s">
        <v>778</v>
      </c>
      <c r="H336" t="s">
        <v>22</v>
      </c>
      <c r="I336" t="s">
        <v>23</v>
      </c>
      <c r="J336" t="s">
        <v>37</v>
      </c>
      <c r="K336" t="s">
        <v>38</v>
      </c>
      <c r="L336" t="s">
        <v>39</v>
      </c>
      <c r="M336" t="s">
        <v>40</v>
      </c>
      <c r="N336" t="s">
        <v>62</v>
      </c>
      <c r="O336" t="s">
        <v>779</v>
      </c>
      <c r="P336">
        <v>4.75</v>
      </c>
      <c r="Q336">
        <v>1</v>
      </c>
      <c r="R336">
        <v>0.2</v>
      </c>
      <c r="S336">
        <v>1.6</v>
      </c>
    </row>
    <row r="337" spans="1:19" x14ac:dyDescent="0.3">
      <c r="A337" s="1">
        <v>40917</v>
      </c>
      <c r="B337">
        <v>2012</v>
      </c>
      <c r="C337" t="s">
        <v>124</v>
      </c>
      <c r="D337" s="1">
        <v>41008</v>
      </c>
      <c r="E337">
        <v>3</v>
      </c>
      <c r="F337" t="s">
        <v>20</v>
      </c>
      <c r="G337" t="s">
        <v>778</v>
      </c>
      <c r="H337" t="s">
        <v>22</v>
      </c>
      <c r="I337" t="s">
        <v>23</v>
      </c>
      <c r="J337" t="s">
        <v>37</v>
      </c>
      <c r="K337" t="s">
        <v>38</v>
      </c>
      <c r="L337" t="s">
        <v>39</v>
      </c>
      <c r="M337" t="s">
        <v>59</v>
      </c>
      <c r="N337" t="s">
        <v>780</v>
      </c>
      <c r="O337" t="s">
        <v>781</v>
      </c>
      <c r="P337">
        <v>959.98</v>
      </c>
      <c r="Q337">
        <v>2</v>
      </c>
      <c r="R337">
        <v>0.2</v>
      </c>
      <c r="S337">
        <v>335.99</v>
      </c>
    </row>
    <row r="338" spans="1:19" x14ac:dyDescent="0.3">
      <c r="A338" s="1">
        <v>40917</v>
      </c>
      <c r="B338">
        <v>2012</v>
      </c>
      <c r="C338" t="s">
        <v>124</v>
      </c>
      <c r="D338" s="1">
        <v>41008</v>
      </c>
      <c r="E338">
        <v>3</v>
      </c>
      <c r="F338" t="s">
        <v>20</v>
      </c>
      <c r="G338" t="s">
        <v>778</v>
      </c>
      <c r="H338" t="s">
        <v>22</v>
      </c>
      <c r="I338" t="s">
        <v>23</v>
      </c>
      <c r="J338" t="s">
        <v>37</v>
      </c>
      <c r="K338" t="s">
        <v>38</v>
      </c>
      <c r="L338" t="s">
        <v>39</v>
      </c>
      <c r="M338" t="s">
        <v>40</v>
      </c>
      <c r="N338" t="s">
        <v>62</v>
      </c>
      <c r="O338" t="s">
        <v>782</v>
      </c>
      <c r="P338">
        <v>14.37</v>
      </c>
      <c r="Q338">
        <v>4</v>
      </c>
      <c r="R338">
        <v>0.2</v>
      </c>
      <c r="S338">
        <v>4.49</v>
      </c>
    </row>
    <row r="339" spans="1:19" x14ac:dyDescent="0.3">
      <c r="A339" s="1">
        <v>40884</v>
      </c>
      <c r="B339">
        <v>2011</v>
      </c>
      <c r="C339" t="s">
        <v>116</v>
      </c>
      <c r="D339" t="s">
        <v>783</v>
      </c>
      <c r="E339">
        <v>5</v>
      </c>
      <c r="F339" t="s">
        <v>45</v>
      </c>
      <c r="G339" t="s">
        <v>784</v>
      </c>
      <c r="H339" t="s">
        <v>36</v>
      </c>
      <c r="I339" t="s">
        <v>23</v>
      </c>
      <c r="J339" t="s">
        <v>105</v>
      </c>
      <c r="K339" t="s">
        <v>38</v>
      </c>
      <c r="L339" t="s">
        <v>39</v>
      </c>
      <c r="M339" t="s">
        <v>40</v>
      </c>
      <c r="N339" t="s">
        <v>62</v>
      </c>
      <c r="O339" t="s">
        <v>785</v>
      </c>
      <c r="P339">
        <v>7.71</v>
      </c>
      <c r="Q339">
        <v>2</v>
      </c>
      <c r="R339">
        <v>0.2</v>
      </c>
      <c r="S339">
        <v>2.8</v>
      </c>
    </row>
    <row r="340" spans="1:19" x14ac:dyDescent="0.3">
      <c r="A340" s="1">
        <v>40884</v>
      </c>
      <c r="B340">
        <v>2011</v>
      </c>
      <c r="C340" t="s">
        <v>116</v>
      </c>
      <c r="D340" t="s">
        <v>783</v>
      </c>
      <c r="E340">
        <v>5</v>
      </c>
      <c r="F340" t="s">
        <v>45</v>
      </c>
      <c r="G340" t="s">
        <v>784</v>
      </c>
      <c r="H340" t="s">
        <v>36</v>
      </c>
      <c r="I340" t="s">
        <v>23</v>
      </c>
      <c r="J340" t="s">
        <v>105</v>
      </c>
      <c r="K340" t="s">
        <v>38</v>
      </c>
      <c r="L340" t="s">
        <v>39</v>
      </c>
      <c r="M340" t="s">
        <v>27</v>
      </c>
      <c r="N340" t="s">
        <v>49</v>
      </c>
      <c r="O340" t="s">
        <v>786</v>
      </c>
      <c r="P340">
        <v>698.35</v>
      </c>
      <c r="Q340">
        <v>3</v>
      </c>
      <c r="R340">
        <v>0.2</v>
      </c>
      <c r="S340">
        <v>-17.46</v>
      </c>
    </row>
    <row r="341" spans="1:19" x14ac:dyDescent="0.3">
      <c r="A341" t="s">
        <v>787</v>
      </c>
      <c r="B341">
        <v>2012</v>
      </c>
      <c r="C341" t="s">
        <v>33</v>
      </c>
      <c r="D341" t="s">
        <v>788</v>
      </c>
      <c r="E341">
        <v>4</v>
      </c>
      <c r="F341" t="s">
        <v>20</v>
      </c>
      <c r="G341" t="s">
        <v>609</v>
      </c>
      <c r="H341" t="s">
        <v>22</v>
      </c>
      <c r="I341" t="s">
        <v>23</v>
      </c>
      <c r="J341" t="s">
        <v>789</v>
      </c>
      <c r="K341" t="s">
        <v>100</v>
      </c>
      <c r="L341" t="s">
        <v>39</v>
      </c>
      <c r="M341" t="s">
        <v>40</v>
      </c>
      <c r="N341" t="s">
        <v>210</v>
      </c>
      <c r="O341" t="s">
        <v>790</v>
      </c>
      <c r="P341">
        <v>4.96</v>
      </c>
      <c r="Q341">
        <v>4</v>
      </c>
      <c r="R341">
        <v>0</v>
      </c>
      <c r="S341">
        <v>2.33</v>
      </c>
    </row>
    <row r="342" spans="1:19" x14ac:dyDescent="0.3">
      <c r="A342" t="s">
        <v>791</v>
      </c>
      <c r="B342">
        <v>2011</v>
      </c>
      <c r="C342" t="s">
        <v>69</v>
      </c>
      <c r="D342" t="s">
        <v>792</v>
      </c>
      <c r="E342">
        <v>4</v>
      </c>
      <c r="F342" t="s">
        <v>20</v>
      </c>
      <c r="G342" t="s">
        <v>404</v>
      </c>
      <c r="H342" t="s">
        <v>36</v>
      </c>
      <c r="I342" t="s">
        <v>23</v>
      </c>
      <c r="J342" t="s">
        <v>119</v>
      </c>
      <c r="K342" t="s">
        <v>120</v>
      </c>
      <c r="L342" t="s">
        <v>121</v>
      </c>
      <c r="M342" t="s">
        <v>40</v>
      </c>
      <c r="N342" t="s">
        <v>57</v>
      </c>
      <c r="O342" t="s">
        <v>793</v>
      </c>
      <c r="P342">
        <v>17.86</v>
      </c>
      <c r="Q342">
        <v>4</v>
      </c>
      <c r="R342">
        <v>0.2</v>
      </c>
      <c r="S342">
        <v>1.1200000000000001</v>
      </c>
    </row>
    <row r="343" spans="1:19" x14ac:dyDescent="0.3">
      <c r="A343" t="s">
        <v>791</v>
      </c>
      <c r="B343">
        <v>2011</v>
      </c>
      <c r="C343" t="s">
        <v>69</v>
      </c>
      <c r="D343" t="s">
        <v>792</v>
      </c>
      <c r="E343">
        <v>4</v>
      </c>
      <c r="F343" t="s">
        <v>20</v>
      </c>
      <c r="G343" t="s">
        <v>404</v>
      </c>
      <c r="H343" t="s">
        <v>36</v>
      </c>
      <c r="I343" t="s">
        <v>23</v>
      </c>
      <c r="J343" t="s">
        <v>119</v>
      </c>
      <c r="K343" t="s">
        <v>120</v>
      </c>
      <c r="L343" t="s">
        <v>121</v>
      </c>
      <c r="M343" t="s">
        <v>40</v>
      </c>
      <c r="N343" t="s">
        <v>62</v>
      </c>
      <c r="O343" t="s">
        <v>80</v>
      </c>
      <c r="P343">
        <v>509.97</v>
      </c>
      <c r="Q343">
        <v>10</v>
      </c>
      <c r="R343">
        <v>0.7</v>
      </c>
      <c r="S343">
        <v>-407.98</v>
      </c>
    </row>
    <row r="344" spans="1:19" x14ac:dyDescent="0.3">
      <c r="A344" t="s">
        <v>791</v>
      </c>
      <c r="B344">
        <v>2011</v>
      </c>
      <c r="C344" t="s">
        <v>69</v>
      </c>
      <c r="D344" t="s">
        <v>792</v>
      </c>
      <c r="E344">
        <v>4</v>
      </c>
      <c r="F344" t="s">
        <v>20</v>
      </c>
      <c r="G344" t="s">
        <v>404</v>
      </c>
      <c r="H344" t="s">
        <v>36</v>
      </c>
      <c r="I344" t="s">
        <v>23</v>
      </c>
      <c r="J344" t="s">
        <v>119</v>
      </c>
      <c r="K344" t="s">
        <v>120</v>
      </c>
      <c r="L344" t="s">
        <v>121</v>
      </c>
      <c r="M344" t="s">
        <v>40</v>
      </c>
      <c r="N344" t="s">
        <v>210</v>
      </c>
      <c r="O344" t="s">
        <v>150</v>
      </c>
      <c r="P344">
        <v>30.99</v>
      </c>
      <c r="Q344">
        <v>13</v>
      </c>
      <c r="R344">
        <v>0.2</v>
      </c>
      <c r="S344">
        <v>10.07</v>
      </c>
    </row>
    <row r="345" spans="1:19" x14ac:dyDescent="0.3">
      <c r="A345" t="s">
        <v>791</v>
      </c>
      <c r="B345">
        <v>2011</v>
      </c>
      <c r="C345" t="s">
        <v>69</v>
      </c>
      <c r="D345" t="s">
        <v>792</v>
      </c>
      <c r="E345">
        <v>4</v>
      </c>
      <c r="F345" t="s">
        <v>20</v>
      </c>
      <c r="G345" t="s">
        <v>404</v>
      </c>
      <c r="H345" t="s">
        <v>36</v>
      </c>
      <c r="I345" t="s">
        <v>23</v>
      </c>
      <c r="J345" t="s">
        <v>119</v>
      </c>
      <c r="K345" t="s">
        <v>120</v>
      </c>
      <c r="L345" t="s">
        <v>121</v>
      </c>
      <c r="M345" t="s">
        <v>59</v>
      </c>
      <c r="N345" t="s">
        <v>60</v>
      </c>
      <c r="O345" t="s">
        <v>794</v>
      </c>
      <c r="P345">
        <v>71.930000000000007</v>
      </c>
      <c r="Q345">
        <v>12</v>
      </c>
      <c r="R345">
        <v>0.4</v>
      </c>
      <c r="S345">
        <v>8.39</v>
      </c>
    </row>
    <row r="346" spans="1:19" x14ac:dyDescent="0.3">
      <c r="A346" t="s">
        <v>795</v>
      </c>
      <c r="B346">
        <v>2012</v>
      </c>
      <c r="C346" t="s">
        <v>76</v>
      </c>
      <c r="D346" t="s">
        <v>578</v>
      </c>
      <c r="E346">
        <v>4</v>
      </c>
      <c r="F346" t="s">
        <v>45</v>
      </c>
      <c r="G346" t="s">
        <v>472</v>
      </c>
      <c r="H346" t="s">
        <v>22</v>
      </c>
      <c r="I346" t="s">
        <v>23</v>
      </c>
      <c r="J346" t="s">
        <v>796</v>
      </c>
      <c r="K346" t="s">
        <v>86</v>
      </c>
      <c r="L346" t="s">
        <v>87</v>
      </c>
      <c r="M346" t="s">
        <v>40</v>
      </c>
      <c r="N346" t="s">
        <v>51</v>
      </c>
      <c r="O346" t="s">
        <v>101</v>
      </c>
      <c r="P346">
        <v>88.8</v>
      </c>
      <c r="Q346">
        <v>4</v>
      </c>
      <c r="R346">
        <v>0.2</v>
      </c>
      <c r="S346">
        <v>-2.2200000000000002</v>
      </c>
    </row>
    <row r="347" spans="1:19" x14ac:dyDescent="0.3">
      <c r="A347" t="s">
        <v>797</v>
      </c>
      <c r="B347">
        <v>2014</v>
      </c>
      <c r="C347" t="s">
        <v>33</v>
      </c>
      <c r="D347" t="s">
        <v>798</v>
      </c>
      <c r="E347">
        <v>4</v>
      </c>
      <c r="F347" t="s">
        <v>45</v>
      </c>
      <c r="G347" t="s">
        <v>799</v>
      </c>
      <c r="H347" t="s">
        <v>22</v>
      </c>
      <c r="I347" t="s">
        <v>23</v>
      </c>
      <c r="J347" t="s">
        <v>105</v>
      </c>
      <c r="K347" t="s">
        <v>38</v>
      </c>
      <c r="L347" t="s">
        <v>39</v>
      </c>
      <c r="M347" t="s">
        <v>59</v>
      </c>
      <c r="N347" t="s">
        <v>60</v>
      </c>
      <c r="O347" t="s">
        <v>391</v>
      </c>
      <c r="P347">
        <v>47.98</v>
      </c>
      <c r="Q347">
        <v>3</v>
      </c>
      <c r="R347">
        <v>0.2</v>
      </c>
      <c r="S347">
        <v>4.8</v>
      </c>
    </row>
    <row r="348" spans="1:19" x14ac:dyDescent="0.3">
      <c r="A348" s="1">
        <v>41889</v>
      </c>
      <c r="B348">
        <v>2014</v>
      </c>
      <c r="C348" t="s">
        <v>116</v>
      </c>
      <c r="D348" t="s">
        <v>800</v>
      </c>
      <c r="E348">
        <v>4</v>
      </c>
      <c r="F348" t="s">
        <v>45</v>
      </c>
      <c r="G348" t="s">
        <v>801</v>
      </c>
      <c r="H348" t="s">
        <v>22</v>
      </c>
      <c r="I348" t="s">
        <v>23</v>
      </c>
      <c r="J348" t="s">
        <v>802</v>
      </c>
      <c r="K348" t="s">
        <v>803</v>
      </c>
      <c r="L348" t="s">
        <v>121</v>
      </c>
      <c r="M348" t="s">
        <v>40</v>
      </c>
      <c r="N348" t="s">
        <v>57</v>
      </c>
      <c r="O348" t="s">
        <v>531</v>
      </c>
      <c r="P348">
        <v>7.56</v>
      </c>
      <c r="Q348">
        <v>3</v>
      </c>
      <c r="R348">
        <v>0</v>
      </c>
      <c r="S348">
        <v>3.1</v>
      </c>
    </row>
    <row r="349" spans="1:19" x14ac:dyDescent="0.3">
      <c r="A349" s="1">
        <v>41889</v>
      </c>
      <c r="B349">
        <v>2014</v>
      </c>
      <c r="C349" t="s">
        <v>116</v>
      </c>
      <c r="D349" t="s">
        <v>800</v>
      </c>
      <c r="E349">
        <v>4</v>
      </c>
      <c r="F349" t="s">
        <v>45</v>
      </c>
      <c r="G349" t="s">
        <v>801</v>
      </c>
      <c r="H349" t="s">
        <v>22</v>
      </c>
      <c r="I349" t="s">
        <v>23</v>
      </c>
      <c r="J349" t="s">
        <v>802</v>
      </c>
      <c r="K349" t="s">
        <v>803</v>
      </c>
      <c r="L349" t="s">
        <v>121</v>
      </c>
      <c r="M349" t="s">
        <v>40</v>
      </c>
      <c r="N349" t="s">
        <v>74</v>
      </c>
      <c r="O349" t="s">
        <v>150</v>
      </c>
      <c r="P349">
        <v>24.56</v>
      </c>
      <c r="Q349">
        <v>2</v>
      </c>
      <c r="R349">
        <v>0</v>
      </c>
      <c r="S349">
        <v>11.54</v>
      </c>
    </row>
    <row r="350" spans="1:19" x14ac:dyDescent="0.3">
      <c r="A350" s="1">
        <v>41889</v>
      </c>
      <c r="B350">
        <v>2014</v>
      </c>
      <c r="C350" t="s">
        <v>116</v>
      </c>
      <c r="D350" t="s">
        <v>800</v>
      </c>
      <c r="E350">
        <v>4</v>
      </c>
      <c r="F350" t="s">
        <v>45</v>
      </c>
      <c r="G350" t="s">
        <v>801</v>
      </c>
      <c r="H350" t="s">
        <v>22</v>
      </c>
      <c r="I350" t="s">
        <v>23</v>
      </c>
      <c r="J350" t="s">
        <v>802</v>
      </c>
      <c r="K350" t="s">
        <v>803</v>
      </c>
      <c r="L350" t="s">
        <v>121</v>
      </c>
      <c r="M350" t="s">
        <v>40</v>
      </c>
      <c r="N350" t="s">
        <v>57</v>
      </c>
      <c r="O350" t="s">
        <v>804</v>
      </c>
      <c r="P350">
        <v>12.96</v>
      </c>
      <c r="Q350">
        <v>2</v>
      </c>
      <c r="R350">
        <v>0</v>
      </c>
      <c r="S350">
        <v>4.1500000000000004</v>
      </c>
    </row>
    <row r="351" spans="1:19" x14ac:dyDescent="0.3">
      <c r="A351" s="1">
        <v>41314</v>
      </c>
      <c r="B351">
        <v>2013</v>
      </c>
      <c r="C351" t="s">
        <v>124</v>
      </c>
      <c r="D351" s="1">
        <v>41373</v>
      </c>
      <c r="E351">
        <v>2</v>
      </c>
      <c r="F351" t="s">
        <v>151</v>
      </c>
      <c r="G351" t="s">
        <v>805</v>
      </c>
      <c r="H351" t="s">
        <v>84</v>
      </c>
      <c r="I351" t="s">
        <v>23</v>
      </c>
      <c r="J351" t="s">
        <v>208</v>
      </c>
      <c r="K351" t="s">
        <v>209</v>
      </c>
      <c r="L351" t="s">
        <v>121</v>
      </c>
      <c r="M351" t="s">
        <v>59</v>
      </c>
      <c r="N351" t="s">
        <v>133</v>
      </c>
      <c r="O351" t="s">
        <v>634</v>
      </c>
      <c r="P351">
        <v>6.79</v>
      </c>
      <c r="Q351">
        <v>1</v>
      </c>
      <c r="R351">
        <v>0</v>
      </c>
      <c r="S351">
        <v>2.31</v>
      </c>
    </row>
    <row r="352" spans="1:19" x14ac:dyDescent="0.3">
      <c r="A352" s="1">
        <v>41314</v>
      </c>
      <c r="B352">
        <v>2013</v>
      </c>
      <c r="C352" t="s">
        <v>124</v>
      </c>
      <c r="D352" s="1">
        <v>41373</v>
      </c>
      <c r="E352">
        <v>2</v>
      </c>
      <c r="F352" t="s">
        <v>151</v>
      </c>
      <c r="G352" t="s">
        <v>805</v>
      </c>
      <c r="H352" t="s">
        <v>84</v>
      </c>
      <c r="I352" t="s">
        <v>23</v>
      </c>
      <c r="J352" t="s">
        <v>208</v>
      </c>
      <c r="K352" t="s">
        <v>209</v>
      </c>
      <c r="L352" t="s">
        <v>121</v>
      </c>
      <c r="M352" t="s">
        <v>40</v>
      </c>
      <c r="N352" t="s">
        <v>74</v>
      </c>
      <c r="O352" t="s">
        <v>806</v>
      </c>
      <c r="P352">
        <v>24.56</v>
      </c>
      <c r="Q352">
        <v>2</v>
      </c>
      <c r="R352">
        <v>0</v>
      </c>
      <c r="S352">
        <v>11.54</v>
      </c>
    </row>
    <row r="353" spans="1:19" x14ac:dyDescent="0.3">
      <c r="A353" s="1">
        <v>41314</v>
      </c>
      <c r="B353">
        <v>2013</v>
      </c>
      <c r="C353" t="s">
        <v>124</v>
      </c>
      <c r="D353" s="1">
        <v>41373</v>
      </c>
      <c r="E353">
        <v>2</v>
      </c>
      <c r="F353" t="s">
        <v>151</v>
      </c>
      <c r="G353" t="s">
        <v>805</v>
      </c>
      <c r="H353" t="s">
        <v>84</v>
      </c>
      <c r="I353" t="s">
        <v>23</v>
      </c>
      <c r="J353" t="s">
        <v>208</v>
      </c>
      <c r="K353" t="s">
        <v>209</v>
      </c>
      <c r="L353" t="s">
        <v>121</v>
      </c>
      <c r="M353" t="s">
        <v>40</v>
      </c>
      <c r="N353" t="s">
        <v>62</v>
      </c>
      <c r="O353" t="s">
        <v>807</v>
      </c>
      <c r="P353">
        <v>3.05</v>
      </c>
      <c r="Q353">
        <v>1</v>
      </c>
      <c r="R353">
        <v>0.2</v>
      </c>
      <c r="S353">
        <v>1.07</v>
      </c>
    </row>
    <row r="354" spans="1:19" x14ac:dyDescent="0.3">
      <c r="A354" s="1">
        <v>41314</v>
      </c>
      <c r="B354">
        <v>2013</v>
      </c>
      <c r="C354" t="s">
        <v>124</v>
      </c>
      <c r="D354" s="1">
        <v>41373</v>
      </c>
      <c r="E354">
        <v>2</v>
      </c>
      <c r="F354" t="s">
        <v>151</v>
      </c>
      <c r="G354" t="s">
        <v>805</v>
      </c>
      <c r="H354" t="s">
        <v>84</v>
      </c>
      <c r="I354" t="s">
        <v>23</v>
      </c>
      <c r="J354" t="s">
        <v>208</v>
      </c>
      <c r="K354" t="s">
        <v>209</v>
      </c>
      <c r="L354" t="s">
        <v>121</v>
      </c>
      <c r="M354" t="s">
        <v>40</v>
      </c>
      <c r="N354" t="s">
        <v>74</v>
      </c>
      <c r="O354" t="s">
        <v>806</v>
      </c>
      <c r="P354">
        <v>49.12</v>
      </c>
      <c r="Q354">
        <v>4</v>
      </c>
      <c r="R354">
        <v>0</v>
      </c>
      <c r="S354">
        <v>23.09</v>
      </c>
    </row>
    <row r="355" spans="1:19" x14ac:dyDescent="0.3">
      <c r="A355" s="1">
        <v>41314</v>
      </c>
      <c r="B355">
        <v>2013</v>
      </c>
      <c r="C355" t="s">
        <v>124</v>
      </c>
      <c r="D355" s="1">
        <v>41373</v>
      </c>
      <c r="E355">
        <v>2</v>
      </c>
      <c r="F355" t="s">
        <v>151</v>
      </c>
      <c r="G355" t="s">
        <v>805</v>
      </c>
      <c r="H355" t="s">
        <v>84</v>
      </c>
      <c r="I355" t="s">
        <v>23</v>
      </c>
      <c r="J355" t="s">
        <v>208</v>
      </c>
      <c r="K355" t="s">
        <v>209</v>
      </c>
      <c r="L355" t="s">
        <v>121</v>
      </c>
      <c r="M355" t="s">
        <v>40</v>
      </c>
      <c r="N355" t="s">
        <v>62</v>
      </c>
      <c r="O355" t="s">
        <v>808</v>
      </c>
      <c r="P355">
        <v>4355.17</v>
      </c>
      <c r="Q355">
        <v>4</v>
      </c>
      <c r="R355">
        <v>0.2</v>
      </c>
      <c r="S355">
        <v>1415.43</v>
      </c>
    </row>
    <row r="356" spans="1:19" x14ac:dyDescent="0.3">
      <c r="A356" s="1">
        <v>41521</v>
      </c>
      <c r="B356">
        <v>2013</v>
      </c>
      <c r="C356" t="s">
        <v>69</v>
      </c>
      <c r="D356" t="s">
        <v>809</v>
      </c>
      <c r="E356">
        <v>5</v>
      </c>
      <c r="F356" t="s">
        <v>45</v>
      </c>
      <c r="G356" t="s">
        <v>810</v>
      </c>
      <c r="H356" t="s">
        <v>22</v>
      </c>
      <c r="I356" t="s">
        <v>23</v>
      </c>
      <c r="J356" t="s">
        <v>208</v>
      </c>
      <c r="K356" t="s">
        <v>209</v>
      </c>
      <c r="L356" t="s">
        <v>121</v>
      </c>
      <c r="M356" t="s">
        <v>27</v>
      </c>
      <c r="N356" t="s">
        <v>28</v>
      </c>
      <c r="O356" t="s">
        <v>811</v>
      </c>
      <c r="P356">
        <v>388.7</v>
      </c>
      <c r="Q356">
        <v>6</v>
      </c>
      <c r="R356">
        <v>0.2</v>
      </c>
      <c r="S356">
        <v>-4.8600000000000003</v>
      </c>
    </row>
    <row r="357" spans="1:19" x14ac:dyDescent="0.3">
      <c r="A357" s="1">
        <v>41521</v>
      </c>
      <c r="B357">
        <v>2013</v>
      </c>
      <c r="C357" t="s">
        <v>69</v>
      </c>
      <c r="D357" t="s">
        <v>809</v>
      </c>
      <c r="E357">
        <v>5</v>
      </c>
      <c r="F357" t="s">
        <v>45</v>
      </c>
      <c r="G357" t="s">
        <v>810</v>
      </c>
      <c r="H357" t="s">
        <v>22</v>
      </c>
      <c r="I357" t="s">
        <v>23</v>
      </c>
      <c r="J357" t="s">
        <v>208</v>
      </c>
      <c r="K357" t="s">
        <v>209</v>
      </c>
      <c r="L357" t="s">
        <v>121</v>
      </c>
      <c r="M357" t="s">
        <v>40</v>
      </c>
      <c r="N357" t="s">
        <v>141</v>
      </c>
      <c r="O357" t="s">
        <v>812</v>
      </c>
      <c r="P357">
        <v>8.26</v>
      </c>
      <c r="Q357">
        <v>2</v>
      </c>
      <c r="R357">
        <v>0</v>
      </c>
      <c r="S357">
        <v>3.8</v>
      </c>
    </row>
    <row r="358" spans="1:19" x14ac:dyDescent="0.3">
      <c r="A358" s="1">
        <v>41521</v>
      </c>
      <c r="B358">
        <v>2013</v>
      </c>
      <c r="C358" t="s">
        <v>69</v>
      </c>
      <c r="D358" t="s">
        <v>809</v>
      </c>
      <c r="E358">
        <v>5</v>
      </c>
      <c r="F358" t="s">
        <v>45</v>
      </c>
      <c r="G358" t="s">
        <v>810</v>
      </c>
      <c r="H358" t="s">
        <v>22</v>
      </c>
      <c r="I358" t="s">
        <v>23</v>
      </c>
      <c r="J358" t="s">
        <v>208</v>
      </c>
      <c r="K358" t="s">
        <v>209</v>
      </c>
      <c r="L358" t="s">
        <v>121</v>
      </c>
      <c r="M358" t="s">
        <v>40</v>
      </c>
      <c r="N358" t="s">
        <v>57</v>
      </c>
      <c r="O358" t="s">
        <v>813</v>
      </c>
      <c r="P358">
        <v>17.04</v>
      </c>
      <c r="Q358">
        <v>4</v>
      </c>
      <c r="R358">
        <v>0</v>
      </c>
      <c r="S358">
        <v>6.99</v>
      </c>
    </row>
    <row r="359" spans="1:19" x14ac:dyDescent="0.3">
      <c r="A359" s="1">
        <v>41521</v>
      </c>
      <c r="B359">
        <v>2013</v>
      </c>
      <c r="C359" t="s">
        <v>69</v>
      </c>
      <c r="D359" t="s">
        <v>809</v>
      </c>
      <c r="E359">
        <v>5</v>
      </c>
      <c r="F359" t="s">
        <v>45</v>
      </c>
      <c r="G359" t="s">
        <v>810</v>
      </c>
      <c r="H359" t="s">
        <v>22</v>
      </c>
      <c r="I359" t="s">
        <v>23</v>
      </c>
      <c r="J359" t="s">
        <v>208</v>
      </c>
      <c r="K359" t="s">
        <v>209</v>
      </c>
      <c r="L359" t="s">
        <v>121</v>
      </c>
      <c r="M359" t="s">
        <v>40</v>
      </c>
      <c r="N359" t="s">
        <v>74</v>
      </c>
      <c r="O359" t="s">
        <v>814</v>
      </c>
      <c r="P359">
        <v>34.4</v>
      </c>
      <c r="Q359">
        <v>5</v>
      </c>
      <c r="R359">
        <v>0</v>
      </c>
      <c r="S359">
        <v>15.82</v>
      </c>
    </row>
    <row r="360" spans="1:19" x14ac:dyDescent="0.3">
      <c r="A360" t="s">
        <v>757</v>
      </c>
      <c r="B360">
        <v>2013</v>
      </c>
      <c r="C360" t="s">
        <v>69</v>
      </c>
      <c r="D360" t="s">
        <v>815</v>
      </c>
      <c r="E360">
        <v>5</v>
      </c>
      <c r="F360" t="s">
        <v>45</v>
      </c>
      <c r="G360" t="s">
        <v>554</v>
      </c>
      <c r="H360" t="s">
        <v>36</v>
      </c>
      <c r="I360" t="s">
        <v>23</v>
      </c>
      <c r="J360" t="s">
        <v>336</v>
      </c>
      <c r="K360" t="s">
        <v>73</v>
      </c>
      <c r="L360" t="s">
        <v>26</v>
      </c>
      <c r="M360" t="s">
        <v>40</v>
      </c>
      <c r="N360" t="s">
        <v>74</v>
      </c>
      <c r="O360" t="s">
        <v>544</v>
      </c>
      <c r="P360">
        <v>36.24</v>
      </c>
      <c r="Q360">
        <v>5</v>
      </c>
      <c r="R360">
        <v>0.2</v>
      </c>
      <c r="S360">
        <v>11.33</v>
      </c>
    </row>
    <row r="361" spans="1:19" x14ac:dyDescent="0.3">
      <c r="A361" s="1">
        <v>41885</v>
      </c>
      <c r="B361">
        <v>2014</v>
      </c>
      <c r="C361" t="s">
        <v>177</v>
      </c>
      <c r="D361" s="1">
        <v>41976</v>
      </c>
      <c r="E361">
        <v>3</v>
      </c>
      <c r="F361" t="s">
        <v>151</v>
      </c>
      <c r="G361" t="s">
        <v>816</v>
      </c>
      <c r="H361" t="s">
        <v>36</v>
      </c>
      <c r="I361" t="s">
        <v>23</v>
      </c>
      <c r="J361" t="s">
        <v>356</v>
      </c>
      <c r="K361" t="s">
        <v>817</v>
      </c>
      <c r="L361" t="s">
        <v>26</v>
      </c>
      <c r="M361" t="s">
        <v>40</v>
      </c>
      <c r="N361" t="s">
        <v>64</v>
      </c>
      <c r="O361" t="s">
        <v>818</v>
      </c>
      <c r="P361">
        <v>647.84</v>
      </c>
      <c r="Q361">
        <v>8</v>
      </c>
      <c r="R361">
        <v>0</v>
      </c>
      <c r="S361">
        <v>168.44</v>
      </c>
    </row>
    <row r="362" spans="1:19" x14ac:dyDescent="0.3">
      <c r="A362" s="1">
        <v>41885</v>
      </c>
      <c r="B362">
        <v>2014</v>
      </c>
      <c r="C362" t="s">
        <v>177</v>
      </c>
      <c r="D362" s="1">
        <v>41976</v>
      </c>
      <c r="E362">
        <v>3</v>
      </c>
      <c r="F362" t="s">
        <v>151</v>
      </c>
      <c r="G362" t="s">
        <v>816</v>
      </c>
      <c r="H362" t="s">
        <v>36</v>
      </c>
      <c r="I362" t="s">
        <v>23</v>
      </c>
      <c r="J362" t="s">
        <v>356</v>
      </c>
      <c r="K362" t="s">
        <v>817</v>
      </c>
      <c r="L362" t="s">
        <v>26</v>
      </c>
      <c r="M362" t="s">
        <v>40</v>
      </c>
      <c r="N362" t="s">
        <v>41</v>
      </c>
      <c r="O362" t="s">
        <v>819</v>
      </c>
      <c r="P362">
        <v>20.7</v>
      </c>
      <c r="Q362">
        <v>2</v>
      </c>
      <c r="R362">
        <v>0</v>
      </c>
      <c r="S362">
        <v>9.94</v>
      </c>
    </row>
    <row r="363" spans="1:19" x14ac:dyDescent="0.3">
      <c r="A363" t="s">
        <v>820</v>
      </c>
      <c r="B363">
        <v>2014</v>
      </c>
      <c r="C363" t="s">
        <v>124</v>
      </c>
      <c r="D363" s="1">
        <v>41680</v>
      </c>
      <c r="E363">
        <v>6</v>
      </c>
      <c r="F363" t="s">
        <v>45</v>
      </c>
      <c r="G363" t="s">
        <v>821</v>
      </c>
      <c r="H363" t="s">
        <v>22</v>
      </c>
      <c r="I363" t="s">
        <v>23</v>
      </c>
      <c r="J363" t="s">
        <v>208</v>
      </c>
      <c r="K363" t="s">
        <v>209</v>
      </c>
      <c r="L363" t="s">
        <v>121</v>
      </c>
      <c r="M363" t="s">
        <v>40</v>
      </c>
      <c r="N363" t="s">
        <v>41</v>
      </c>
      <c r="O363" t="s">
        <v>819</v>
      </c>
      <c r="P363">
        <v>20.7</v>
      </c>
      <c r="Q363">
        <v>2</v>
      </c>
      <c r="R363">
        <v>0</v>
      </c>
      <c r="S363">
        <v>9.94</v>
      </c>
    </row>
    <row r="364" spans="1:19" x14ac:dyDescent="0.3">
      <c r="A364" t="s">
        <v>820</v>
      </c>
      <c r="B364">
        <v>2014</v>
      </c>
      <c r="C364" t="s">
        <v>124</v>
      </c>
      <c r="D364" s="1">
        <v>41680</v>
      </c>
      <c r="E364">
        <v>6</v>
      </c>
      <c r="F364" t="s">
        <v>45</v>
      </c>
      <c r="G364" t="s">
        <v>821</v>
      </c>
      <c r="H364" t="s">
        <v>22</v>
      </c>
      <c r="I364" t="s">
        <v>23</v>
      </c>
      <c r="J364" t="s">
        <v>208</v>
      </c>
      <c r="K364" t="s">
        <v>209</v>
      </c>
      <c r="L364" t="s">
        <v>121</v>
      </c>
      <c r="M364" t="s">
        <v>27</v>
      </c>
      <c r="N364" t="s">
        <v>30</v>
      </c>
      <c r="O364" t="s">
        <v>822</v>
      </c>
      <c r="P364">
        <v>488.65</v>
      </c>
      <c r="Q364">
        <v>3</v>
      </c>
      <c r="R364">
        <v>0.1</v>
      </c>
      <c r="S364">
        <v>86.87</v>
      </c>
    </row>
    <row r="365" spans="1:19" x14ac:dyDescent="0.3">
      <c r="A365" t="s">
        <v>820</v>
      </c>
      <c r="B365">
        <v>2014</v>
      </c>
      <c r="C365" t="s">
        <v>124</v>
      </c>
      <c r="D365" s="1">
        <v>41680</v>
      </c>
      <c r="E365">
        <v>6</v>
      </c>
      <c r="F365" t="s">
        <v>45</v>
      </c>
      <c r="G365" t="s">
        <v>821</v>
      </c>
      <c r="H365" t="s">
        <v>22</v>
      </c>
      <c r="I365" t="s">
        <v>23</v>
      </c>
      <c r="J365" t="s">
        <v>208</v>
      </c>
      <c r="K365" t="s">
        <v>209</v>
      </c>
      <c r="L365" t="s">
        <v>121</v>
      </c>
      <c r="M365" t="s">
        <v>40</v>
      </c>
      <c r="N365" t="s">
        <v>57</v>
      </c>
      <c r="O365" t="s">
        <v>823</v>
      </c>
      <c r="P365">
        <v>5.56</v>
      </c>
      <c r="Q365">
        <v>2</v>
      </c>
      <c r="R365">
        <v>0</v>
      </c>
      <c r="S365">
        <v>1.45</v>
      </c>
    </row>
    <row r="366" spans="1:19" x14ac:dyDescent="0.3">
      <c r="A366" t="s">
        <v>820</v>
      </c>
      <c r="B366">
        <v>2014</v>
      </c>
      <c r="C366" t="s">
        <v>124</v>
      </c>
      <c r="D366" s="1">
        <v>41680</v>
      </c>
      <c r="E366">
        <v>6</v>
      </c>
      <c r="F366" t="s">
        <v>45</v>
      </c>
      <c r="G366" t="s">
        <v>821</v>
      </c>
      <c r="H366" t="s">
        <v>22</v>
      </c>
      <c r="I366" t="s">
        <v>23</v>
      </c>
      <c r="J366" t="s">
        <v>208</v>
      </c>
      <c r="K366" t="s">
        <v>209</v>
      </c>
      <c r="L366" t="s">
        <v>121</v>
      </c>
      <c r="M366" t="s">
        <v>27</v>
      </c>
      <c r="N366" t="s">
        <v>55</v>
      </c>
      <c r="O366" t="s">
        <v>824</v>
      </c>
      <c r="P366">
        <v>47.12</v>
      </c>
      <c r="Q366">
        <v>8</v>
      </c>
      <c r="R366">
        <v>0</v>
      </c>
      <c r="S366">
        <v>20.73</v>
      </c>
    </row>
    <row r="367" spans="1:19" x14ac:dyDescent="0.3">
      <c r="A367" t="s">
        <v>753</v>
      </c>
      <c r="B367">
        <v>2011</v>
      </c>
      <c r="C367" t="s">
        <v>124</v>
      </c>
      <c r="D367" t="s">
        <v>825</v>
      </c>
      <c r="E367">
        <v>5</v>
      </c>
      <c r="F367" t="s">
        <v>45</v>
      </c>
      <c r="G367" t="s">
        <v>826</v>
      </c>
      <c r="H367" t="s">
        <v>22</v>
      </c>
      <c r="I367" t="s">
        <v>23</v>
      </c>
      <c r="J367" t="s">
        <v>105</v>
      </c>
      <c r="K367" t="s">
        <v>38</v>
      </c>
      <c r="L367" t="s">
        <v>39</v>
      </c>
      <c r="M367" t="s">
        <v>40</v>
      </c>
      <c r="N367" t="s">
        <v>51</v>
      </c>
      <c r="O367" t="s">
        <v>189</v>
      </c>
      <c r="P367">
        <v>211.96</v>
      </c>
      <c r="Q367">
        <v>4</v>
      </c>
      <c r="R367">
        <v>0</v>
      </c>
      <c r="S367">
        <v>8.48</v>
      </c>
    </row>
    <row r="368" spans="1:19" x14ac:dyDescent="0.3">
      <c r="A368" t="s">
        <v>827</v>
      </c>
      <c r="B368">
        <v>2013</v>
      </c>
      <c r="C368" t="s">
        <v>43</v>
      </c>
      <c r="D368" t="s">
        <v>827</v>
      </c>
      <c r="E368">
        <v>0</v>
      </c>
      <c r="F368" t="s">
        <v>828</v>
      </c>
      <c r="G368" t="s">
        <v>829</v>
      </c>
      <c r="H368" t="s">
        <v>36</v>
      </c>
      <c r="I368" t="s">
        <v>23</v>
      </c>
      <c r="J368" t="s">
        <v>830</v>
      </c>
      <c r="K368" t="s">
        <v>507</v>
      </c>
      <c r="L368" t="s">
        <v>121</v>
      </c>
      <c r="M368" t="s">
        <v>40</v>
      </c>
      <c r="N368" t="s">
        <v>62</v>
      </c>
      <c r="O368" t="s">
        <v>831</v>
      </c>
      <c r="P368">
        <v>23.2</v>
      </c>
      <c r="Q368">
        <v>4</v>
      </c>
      <c r="R368">
        <v>0</v>
      </c>
      <c r="S368">
        <v>10.44</v>
      </c>
    </row>
    <row r="369" spans="1:19" x14ac:dyDescent="0.3">
      <c r="A369" t="s">
        <v>827</v>
      </c>
      <c r="B369">
        <v>2013</v>
      </c>
      <c r="C369" t="s">
        <v>43</v>
      </c>
      <c r="D369" t="s">
        <v>827</v>
      </c>
      <c r="E369">
        <v>0</v>
      </c>
      <c r="F369" t="s">
        <v>828</v>
      </c>
      <c r="G369" t="s">
        <v>829</v>
      </c>
      <c r="H369" t="s">
        <v>36</v>
      </c>
      <c r="I369" t="s">
        <v>23</v>
      </c>
      <c r="J369" t="s">
        <v>830</v>
      </c>
      <c r="K369" t="s">
        <v>507</v>
      </c>
      <c r="L369" t="s">
        <v>121</v>
      </c>
      <c r="M369" t="s">
        <v>40</v>
      </c>
      <c r="N369" t="s">
        <v>402</v>
      </c>
      <c r="O369" t="s">
        <v>150</v>
      </c>
      <c r="P369">
        <v>7.36</v>
      </c>
      <c r="Q369">
        <v>2</v>
      </c>
      <c r="R369">
        <v>0</v>
      </c>
      <c r="S369">
        <v>0.15</v>
      </c>
    </row>
    <row r="370" spans="1:19" x14ac:dyDescent="0.3">
      <c r="A370" t="s">
        <v>827</v>
      </c>
      <c r="B370">
        <v>2013</v>
      </c>
      <c r="C370" t="s">
        <v>43</v>
      </c>
      <c r="D370" t="s">
        <v>827</v>
      </c>
      <c r="E370">
        <v>0</v>
      </c>
      <c r="F370" t="s">
        <v>828</v>
      </c>
      <c r="G370" t="s">
        <v>829</v>
      </c>
      <c r="H370" t="s">
        <v>36</v>
      </c>
      <c r="I370" t="s">
        <v>23</v>
      </c>
      <c r="J370" t="s">
        <v>830</v>
      </c>
      <c r="K370" t="s">
        <v>507</v>
      </c>
      <c r="L370" t="s">
        <v>121</v>
      </c>
      <c r="M370" t="s">
        <v>40</v>
      </c>
      <c r="N370" t="s">
        <v>51</v>
      </c>
      <c r="O370" t="s">
        <v>832</v>
      </c>
      <c r="P370">
        <v>104.79</v>
      </c>
      <c r="Q370">
        <v>7</v>
      </c>
      <c r="R370">
        <v>0</v>
      </c>
      <c r="S370">
        <v>29.34</v>
      </c>
    </row>
    <row r="371" spans="1:19" x14ac:dyDescent="0.3">
      <c r="A371" t="s">
        <v>827</v>
      </c>
      <c r="B371">
        <v>2013</v>
      </c>
      <c r="C371" t="s">
        <v>43</v>
      </c>
      <c r="D371" t="s">
        <v>827</v>
      </c>
      <c r="E371">
        <v>0</v>
      </c>
      <c r="F371" t="s">
        <v>828</v>
      </c>
      <c r="G371" t="s">
        <v>829</v>
      </c>
      <c r="H371" t="s">
        <v>36</v>
      </c>
      <c r="I371" t="s">
        <v>23</v>
      </c>
      <c r="J371" t="s">
        <v>830</v>
      </c>
      <c r="K371" t="s">
        <v>507</v>
      </c>
      <c r="L371" t="s">
        <v>121</v>
      </c>
      <c r="M371" t="s">
        <v>27</v>
      </c>
      <c r="N371" t="s">
        <v>28</v>
      </c>
      <c r="O371" t="s">
        <v>160</v>
      </c>
      <c r="P371">
        <v>1043.92</v>
      </c>
      <c r="Q371">
        <v>4</v>
      </c>
      <c r="R371">
        <v>0</v>
      </c>
      <c r="S371">
        <v>271.42</v>
      </c>
    </row>
    <row r="372" spans="1:19" x14ac:dyDescent="0.3">
      <c r="A372" t="s">
        <v>833</v>
      </c>
      <c r="B372">
        <v>2014</v>
      </c>
      <c r="C372" t="s">
        <v>96</v>
      </c>
      <c r="D372" s="1">
        <v>41765</v>
      </c>
      <c r="E372">
        <v>6</v>
      </c>
      <c r="F372" t="s">
        <v>45</v>
      </c>
      <c r="G372" t="s">
        <v>834</v>
      </c>
      <c r="H372" t="s">
        <v>22</v>
      </c>
      <c r="I372" t="s">
        <v>23</v>
      </c>
      <c r="J372" t="s">
        <v>835</v>
      </c>
      <c r="K372" t="s">
        <v>86</v>
      </c>
      <c r="L372" t="s">
        <v>87</v>
      </c>
      <c r="M372" t="s">
        <v>40</v>
      </c>
      <c r="N372" t="s">
        <v>74</v>
      </c>
      <c r="O372" t="s">
        <v>836</v>
      </c>
      <c r="P372">
        <v>25.92</v>
      </c>
      <c r="Q372">
        <v>5</v>
      </c>
      <c r="R372">
        <v>0.2</v>
      </c>
      <c r="S372">
        <v>9.4</v>
      </c>
    </row>
    <row r="373" spans="1:19" x14ac:dyDescent="0.3">
      <c r="A373" t="s">
        <v>833</v>
      </c>
      <c r="B373">
        <v>2014</v>
      </c>
      <c r="C373" t="s">
        <v>96</v>
      </c>
      <c r="D373" s="1">
        <v>41765</v>
      </c>
      <c r="E373">
        <v>6</v>
      </c>
      <c r="F373" t="s">
        <v>45</v>
      </c>
      <c r="G373" t="s">
        <v>834</v>
      </c>
      <c r="H373" t="s">
        <v>22</v>
      </c>
      <c r="I373" t="s">
        <v>23</v>
      </c>
      <c r="J373" t="s">
        <v>835</v>
      </c>
      <c r="K373" t="s">
        <v>86</v>
      </c>
      <c r="L373" t="s">
        <v>87</v>
      </c>
      <c r="M373" t="s">
        <v>40</v>
      </c>
      <c r="N373" t="s">
        <v>51</v>
      </c>
      <c r="O373" t="s">
        <v>837</v>
      </c>
      <c r="P373">
        <v>53.42</v>
      </c>
      <c r="Q373">
        <v>3</v>
      </c>
      <c r="R373">
        <v>0.2</v>
      </c>
      <c r="S373">
        <v>4.67</v>
      </c>
    </row>
    <row r="374" spans="1:19" x14ac:dyDescent="0.3">
      <c r="A374" t="s">
        <v>838</v>
      </c>
      <c r="B374">
        <v>2011</v>
      </c>
      <c r="C374" t="s">
        <v>116</v>
      </c>
      <c r="D374" t="s">
        <v>839</v>
      </c>
      <c r="E374">
        <v>4</v>
      </c>
      <c r="F374" t="s">
        <v>45</v>
      </c>
      <c r="G374" t="s">
        <v>840</v>
      </c>
      <c r="H374" t="s">
        <v>22</v>
      </c>
      <c r="I374" t="s">
        <v>23</v>
      </c>
      <c r="J374" t="s">
        <v>841</v>
      </c>
      <c r="K374" t="s">
        <v>236</v>
      </c>
      <c r="L374" t="s">
        <v>39</v>
      </c>
      <c r="M374" t="s">
        <v>40</v>
      </c>
      <c r="N374" t="s">
        <v>62</v>
      </c>
      <c r="O374" t="s">
        <v>777</v>
      </c>
      <c r="P374">
        <v>8.16</v>
      </c>
      <c r="Q374">
        <v>5</v>
      </c>
      <c r="R374">
        <v>0.7</v>
      </c>
      <c r="S374">
        <v>-5.71</v>
      </c>
    </row>
    <row r="375" spans="1:19" x14ac:dyDescent="0.3">
      <c r="A375" t="s">
        <v>838</v>
      </c>
      <c r="B375">
        <v>2011</v>
      </c>
      <c r="C375" t="s">
        <v>116</v>
      </c>
      <c r="D375" t="s">
        <v>839</v>
      </c>
      <c r="E375">
        <v>4</v>
      </c>
      <c r="F375" t="s">
        <v>45</v>
      </c>
      <c r="G375" t="s">
        <v>840</v>
      </c>
      <c r="H375" t="s">
        <v>22</v>
      </c>
      <c r="I375" t="s">
        <v>23</v>
      </c>
      <c r="J375" t="s">
        <v>841</v>
      </c>
      <c r="K375" t="s">
        <v>236</v>
      </c>
      <c r="L375" t="s">
        <v>39</v>
      </c>
      <c r="M375" t="s">
        <v>59</v>
      </c>
      <c r="N375" t="s">
        <v>133</v>
      </c>
      <c r="O375" t="s">
        <v>842</v>
      </c>
      <c r="P375">
        <v>1023.94</v>
      </c>
      <c r="Q375">
        <v>8</v>
      </c>
      <c r="R375">
        <v>0.2</v>
      </c>
      <c r="S375">
        <v>179.19</v>
      </c>
    </row>
    <row r="376" spans="1:19" x14ac:dyDescent="0.3">
      <c r="A376" t="s">
        <v>838</v>
      </c>
      <c r="B376">
        <v>2011</v>
      </c>
      <c r="C376" t="s">
        <v>116</v>
      </c>
      <c r="D376" t="s">
        <v>839</v>
      </c>
      <c r="E376">
        <v>4</v>
      </c>
      <c r="F376" t="s">
        <v>45</v>
      </c>
      <c r="G376" t="s">
        <v>840</v>
      </c>
      <c r="H376" t="s">
        <v>22</v>
      </c>
      <c r="I376" t="s">
        <v>23</v>
      </c>
      <c r="J376" t="s">
        <v>841</v>
      </c>
      <c r="K376" t="s">
        <v>236</v>
      </c>
      <c r="L376" t="s">
        <v>39</v>
      </c>
      <c r="M376" t="s">
        <v>40</v>
      </c>
      <c r="N376" t="s">
        <v>57</v>
      </c>
      <c r="O376" t="s">
        <v>843</v>
      </c>
      <c r="P376">
        <v>9.24</v>
      </c>
      <c r="Q376">
        <v>1</v>
      </c>
      <c r="R376">
        <v>0.2</v>
      </c>
      <c r="S376">
        <v>0.92</v>
      </c>
    </row>
    <row r="377" spans="1:19" x14ac:dyDescent="0.3">
      <c r="A377" t="s">
        <v>838</v>
      </c>
      <c r="B377">
        <v>2011</v>
      </c>
      <c r="C377" t="s">
        <v>116</v>
      </c>
      <c r="D377" t="s">
        <v>839</v>
      </c>
      <c r="E377">
        <v>4</v>
      </c>
      <c r="F377" t="s">
        <v>45</v>
      </c>
      <c r="G377" t="s">
        <v>840</v>
      </c>
      <c r="H377" t="s">
        <v>22</v>
      </c>
      <c r="I377" t="s">
        <v>23</v>
      </c>
      <c r="J377" t="s">
        <v>841</v>
      </c>
      <c r="K377" t="s">
        <v>236</v>
      </c>
      <c r="L377" t="s">
        <v>39</v>
      </c>
      <c r="M377" t="s">
        <v>59</v>
      </c>
      <c r="N377" t="s">
        <v>133</v>
      </c>
      <c r="O377" t="s">
        <v>844</v>
      </c>
      <c r="P377">
        <v>479.04</v>
      </c>
      <c r="Q377">
        <v>10</v>
      </c>
      <c r="R377">
        <v>0.2</v>
      </c>
      <c r="S377">
        <v>-29.94</v>
      </c>
    </row>
    <row r="378" spans="1:19" x14ac:dyDescent="0.3">
      <c r="A378" t="s">
        <v>845</v>
      </c>
      <c r="B378">
        <v>2013</v>
      </c>
      <c r="C378" t="s">
        <v>124</v>
      </c>
      <c r="D378" s="1">
        <v>41315</v>
      </c>
      <c r="E378">
        <v>3</v>
      </c>
      <c r="F378" t="s">
        <v>151</v>
      </c>
      <c r="G378" t="s">
        <v>846</v>
      </c>
      <c r="H378" t="s">
        <v>36</v>
      </c>
      <c r="I378" t="s">
        <v>23</v>
      </c>
      <c r="J378" t="s">
        <v>847</v>
      </c>
      <c r="K378" t="s">
        <v>166</v>
      </c>
      <c r="L378" t="s">
        <v>87</v>
      </c>
      <c r="M378" t="s">
        <v>40</v>
      </c>
      <c r="N378" t="s">
        <v>74</v>
      </c>
      <c r="O378" t="s">
        <v>848</v>
      </c>
      <c r="P378">
        <v>99.14</v>
      </c>
      <c r="Q378">
        <v>4</v>
      </c>
      <c r="R378">
        <v>0.2</v>
      </c>
      <c r="S378">
        <v>30.98</v>
      </c>
    </row>
    <row r="379" spans="1:19" x14ac:dyDescent="0.3">
      <c r="A379" t="s">
        <v>849</v>
      </c>
      <c r="B379">
        <v>2014</v>
      </c>
      <c r="C379" t="s">
        <v>103</v>
      </c>
      <c r="D379" s="1">
        <v>41679</v>
      </c>
      <c r="E379">
        <v>5</v>
      </c>
      <c r="F379" t="s">
        <v>45</v>
      </c>
      <c r="G379" t="s">
        <v>850</v>
      </c>
      <c r="H379" t="s">
        <v>36</v>
      </c>
      <c r="I379" t="s">
        <v>23</v>
      </c>
      <c r="J379" t="s">
        <v>424</v>
      </c>
      <c r="K379" t="s">
        <v>803</v>
      </c>
      <c r="L379" t="s">
        <v>121</v>
      </c>
      <c r="M379" t="s">
        <v>27</v>
      </c>
      <c r="N379" t="s">
        <v>49</v>
      </c>
      <c r="O379" t="s">
        <v>851</v>
      </c>
      <c r="P379">
        <v>1488.42</v>
      </c>
      <c r="Q379">
        <v>7</v>
      </c>
      <c r="R379">
        <v>0.3</v>
      </c>
      <c r="S379">
        <v>-297.68</v>
      </c>
    </row>
    <row r="380" spans="1:19" x14ac:dyDescent="0.3">
      <c r="A380" t="s">
        <v>852</v>
      </c>
      <c r="B380">
        <v>2012</v>
      </c>
      <c r="C380" t="s">
        <v>69</v>
      </c>
      <c r="D380" s="1">
        <v>41034</v>
      </c>
      <c r="E380">
        <v>7</v>
      </c>
      <c r="F380" t="s">
        <v>45</v>
      </c>
      <c r="G380" t="s">
        <v>853</v>
      </c>
      <c r="H380" t="s">
        <v>22</v>
      </c>
      <c r="I380" t="s">
        <v>23</v>
      </c>
      <c r="J380" t="s">
        <v>149</v>
      </c>
      <c r="K380" t="s">
        <v>86</v>
      </c>
      <c r="L380" t="s">
        <v>87</v>
      </c>
      <c r="M380" t="s">
        <v>40</v>
      </c>
      <c r="N380" t="s">
        <v>64</v>
      </c>
      <c r="O380" t="s">
        <v>854</v>
      </c>
      <c r="P380">
        <v>8.65</v>
      </c>
      <c r="Q380">
        <v>3</v>
      </c>
      <c r="R380">
        <v>0.8</v>
      </c>
      <c r="S380">
        <v>-20.329999999999998</v>
      </c>
    </row>
    <row r="381" spans="1:19" x14ac:dyDescent="0.3">
      <c r="A381" t="s">
        <v>852</v>
      </c>
      <c r="B381">
        <v>2012</v>
      </c>
      <c r="C381" t="s">
        <v>69</v>
      </c>
      <c r="D381" s="1">
        <v>41034</v>
      </c>
      <c r="E381">
        <v>7</v>
      </c>
      <c r="F381" t="s">
        <v>45</v>
      </c>
      <c r="G381" t="s">
        <v>853</v>
      </c>
      <c r="H381" t="s">
        <v>22</v>
      </c>
      <c r="I381" t="s">
        <v>23</v>
      </c>
      <c r="J381" t="s">
        <v>149</v>
      </c>
      <c r="K381" t="s">
        <v>86</v>
      </c>
      <c r="L381" t="s">
        <v>87</v>
      </c>
      <c r="M381" t="s">
        <v>40</v>
      </c>
      <c r="N381" t="s">
        <v>51</v>
      </c>
      <c r="O381" t="s">
        <v>855</v>
      </c>
      <c r="P381">
        <v>23.83</v>
      </c>
      <c r="Q381">
        <v>3</v>
      </c>
      <c r="R381">
        <v>0.2</v>
      </c>
      <c r="S381">
        <v>2.68</v>
      </c>
    </row>
    <row r="382" spans="1:19" x14ac:dyDescent="0.3">
      <c r="A382" t="s">
        <v>852</v>
      </c>
      <c r="B382">
        <v>2012</v>
      </c>
      <c r="C382" t="s">
        <v>69</v>
      </c>
      <c r="D382" s="1">
        <v>41034</v>
      </c>
      <c r="E382">
        <v>7</v>
      </c>
      <c r="F382" t="s">
        <v>45</v>
      </c>
      <c r="G382" t="s">
        <v>853</v>
      </c>
      <c r="H382" t="s">
        <v>22</v>
      </c>
      <c r="I382" t="s">
        <v>23</v>
      </c>
      <c r="J382" t="s">
        <v>149</v>
      </c>
      <c r="K382" t="s">
        <v>86</v>
      </c>
      <c r="L382" t="s">
        <v>87</v>
      </c>
      <c r="M382" t="s">
        <v>40</v>
      </c>
      <c r="N382" t="s">
        <v>62</v>
      </c>
      <c r="O382" t="s">
        <v>856</v>
      </c>
      <c r="P382">
        <v>12.18</v>
      </c>
      <c r="Q382">
        <v>4</v>
      </c>
      <c r="R382">
        <v>0.8</v>
      </c>
      <c r="S382">
        <v>-18.87</v>
      </c>
    </row>
    <row r="383" spans="1:19" x14ac:dyDescent="0.3">
      <c r="A383" t="s">
        <v>575</v>
      </c>
      <c r="B383">
        <v>2013</v>
      </c>
      <c r="C383" t="s">
        <v>43</v>
      </c>
      <c r="D383" t="s">
        <v>857</v>
      </c>
      <c r="E383">
        <v>1</v>
      </c>
      <c r="F383" t="s">
        <v>151</v>
      </c>
      <c r="G383" t="s">
        <v>858</v>
      </c>
      <c r="H383" t="s">
        <v>36</v>
      </c>
      <c r="I383" t="s">
        <v>23</v>
      </c>
      <c r="J383" t="s">
        <v>105</v>
      </c>
      <c r="K383" t="s">
        <v>38</v>
      </c>
      <c r="L383" t="s">
        <v>39</v>
      </c>
      <c r="M383" t="s">
        <v>40</v>
      </c>
      <c r="N383" t="s">
        <v>74</v>
      </c>
      <c r="O383" t="s">
        <v>859</v>
      </c>
      <c r="P383">
        <v>50.96</v>
      </c>
      <c r="Q383">
        <v>7</v>
      </c>
      <c r="R383">
        <v>0</v>
      </c>
      <c r="S383">
        <v>25.48</v>
      </c>
    </row>
    <row r="384" spans="1:19" x14ac:dyDescent="0.3">
      <c r="A384" t="s">
        <v>575</v>
      </c>
      <c r="B384">
        <v>2013</v>
      </c>
      <c r="C384" t="s">
        <v>43</v>
      </c>
      <c r="D384" t="s">
        <v>857</v>
      </c>
      <c r="E384">
        <v>1</v>
      </c>
      <c r="F384" t="s">
        <v>151</v>
      </c>
      <c r="G384" t="s">
        <v>858</v>
      </c>
      <c r="H384" t="s">
        <v>36</v>
      </c>
      <c r="I384" t="s">
        <v>23</v>
      </c>
      <c r="J384" t="s">
        <v>105</v>
      </c>
      <c r="K384" t="s">
        <v>38</v>
      </c>
      <c r="L384" t="s">
        <v>39</v>
      </c>
      <c r="M384" t="s">
        <v>40</v>
      </c>
      <c r="N384" t="s">
        <v>62</v>
      </c>
      <c r="O384" t="s">
        <v>860</v>
      </c>
      <c r="P384">
        <v>49.54</v>
      </c>
      <c r="Q384">
        <v>3</v>
      </c>
      <c r="R384">
        <v>0.2</v>
      </c>
      <c r="S384">
        <v>17.34</v>
      </c>
    </row>
    <row r="385" spans="1:19" x14ac:dyDescent="0.3">
      <c r="A385" t="s">
        <v>788</v>
      </c>
      <c r="B385">
        <v>2012</v>
      </c>
      <c r="C385" t="s">
        <v>33</v>
      </c>
      <c r="D385" t="s">
        <v>861</v>
      </c>
      <c r="E385">
        <v>3</v>
      </c>
      <c r="F385" t="s">
        <v>20</v>
      </c>
      <c r="G385" t="s">
        <v>862</v>
      </c>
      <c r="H385" t="s">
        <v>36</v>
      </c>
      <c r="I385" t="s">
        <v>23</v>
      </c>
      <c r="J385" t="s">
        <v>720</v>
      </c>
      <c r="K385" t="s">
        <v>188</v>
      </c>
      <c r="L385" t="s">
        <v>87</v>
      </c>
      <c r="M385" t="s">
        <v>59</v>
      </c>
      <c r="N385" t="s">
        <v>133</v>
      </c>
      <c r="O385" t="s">
        <v>863</v>
      </c>
      <c r="P385">
        <v>41.9</v>
      </c>
      <c r="Q385">
        <v>2</v>
      </c>
      <c r="R385">
        <v>0</v>
      </c>
      <c r="S385">
        <v>8.8000000000000007</v>
      </c>
    </row>
    <row r="386" spans="1:19" x14ac:dyDescent="0.3">
      <c r="A386" t="s">
        <v>864</v>
      </c>
      <c r="B386">
        <v>2012</v>
      </c>
      <c r="C386" t="s">
        <v>19</v>
      </c>
      <c r="D386" s="1">
        <v>40951</v>
      </c>
      <c r="E386">
        <v>5</v>
      </c>
      <c r="F386" t="s">
        <v>45</v>
      </c>
      <c r="G386" t="s">
        <v>865</v>
      </c>
      <c r="H386" t="s">
        <v>22</v>
      </c>
      <c r="I386" t="s">
        <v>23</v>
      </c>
      <c r="J386" t="s">
        <v>866</v>
      </c>
      <c r="K386" t="s">
        <v>48</v>
      </c>
      <c r="L386" t="s">
        <v>26</v>
      </c>
      <c r="M386" t="s">
        <v>27</v>
      </c>
      <c r="N386" t="s">
        <v>49</v>
      </c>
      <c r="O386" t="s">
        <v>867</v>
      </c>
      <c r="P386">
        <v>375.46</v>
      </c>
      <c r="Q386">
        <v>3</v>
      </c>
      <c r="R386">
        <v>0.45</v>
      </c>
      <c r="S386">
        <v>-157.01</v>
      </c>
    </row>
    <row r="387" spans="1:19" x14ac:dyDescent="0.3">
      <c r="A387" t="s">
        <v>864</v>
      </c>
      <c r="B387">
        <v>2012</v>
      </c>
      <c r="C387" t="s">
        <v>19</v>
      </c>
      <c r="D387" s="1">
        <v>40951</v>
      </c>
      <c r="E387">
        <v>5</v>
      </c>
      <c r="F387" t="s">
        <v>45</v>
      </c>
      <c r="G387" t="s">
        <v>865</v>
      </c>
      <c r="H387" t="s">
        <v>22</v>
      </c>
      <c r="I387" t="s">
        <v>23</v>
      </c>
      <c r="J387" t="s">
        <v>866</v>
      </c>
      <c r="K387" t="s">
        <v>48</v>
      </c>
      <c r="L387" t="s">
        <v>26</v>
      </c>
      <c r="M387" t="s">
        <v>59</v>
      </c>
      <c r="N387" t="s">
        <v>133</v>
      </c>
      <c r="O387" t="s">
        <v>868</v>
      </c>
      <c r="P387">
        <v>83.98</v>
      </c>
      <c r="Q387">
        <v>3</v>
      </c>
      <c r="R387">
        <v>0.2</v>
      </c>
      <c r="S387">
        <v>-1.05</v>
      </c>
    </row>
    <row r="388" spans="1:19" x14ac:dyDescent="0.3">
      <c r="A388" s="1">
        <v>40980</v>
      </c>
      <c r="B388">
        <v>2012</v>
      </c>
      <c r="C388" t="s">
        <v>76</v>
      </c>
      <c r="D388" s="1">
        <v>41102</v>
      </c>
      <c r="E388">
        <v>4</v>
      </c>
      <c r="F388" t="s">
        <v>45</v>
      </c>
      <c r="G388" t="s">
        <v>869</v>
      </c>
      <c r="H388" t="s">
        <v>36</v>
      </c>
      <c r="I388" t="s">
        <v>23</v>
      </c>
      <c r="J388" t="s">
        <v>119</v>
      </c>
      <c r="K388" t="s">
        <v>120</v>
      </c>
      <c r="L388" t="s">
        <v>121</v>
      </c>
      <c r="M388" t="s">
        <v>59</v>
      </c>
      <c r="N388" t="s">
        <v>465</v>
      </c>
      <c r="O388" t="s">
        <v>870</v>
      </c>
      <c r="P388">
        <v>482.34</v>
      </c>
      <c r="Q388">
        <v>4</v>
      </c>
      <c r="R388">
        <v>0.7</v>
      </c>
      <c r="S388">
        <v>-337.64</v>
      </c>
    </row>
    <row r="389" spans="1:19" x14ac:dyDescent="0.3">
      <c r="A389" s="1">
        <v>40980</v>
      </c>
      <c r="B389">
        <v>2012</v>
      </c>
      <c r="C389" t="s">
        <v>76</v>
      </c>
      <c r="D389" s="1">
        <v>41102</v>
      </c>
      <c r="E389">
        <v>4</v>
      </c>
      <c r="F389" t="s">
        <v>45</v>
      </c>
      <c r="G389" t="s">
        <v>869</v>
      </c>
      <c r="H389" t="s">
        <v>36</v>
      </c>
      <c r="I389" t="s">
        <v>23</v>
      </c>
      <c r="J389" t="s">
        <v>119</v>
      </c>
      <c r="K389" t="s">
        <v>120</v>
      </c>
      <c r="L389" t="s">
        <v>121</v>
      </c>
      <c r="M389" t="s">
        <v>27</v>
      </c>
      <c r="N389" t="s">
        <v>55</v>
      </c>
      <c r="O389" t="s">
        <v>871</v>
      </c>
      <c r="P389">
        <v>2.96</v>
      </c>
      <c r="Q389">
        <v>1</v>
      </c>
      <c r="R389">
        <v>0.2</v>
      </c>
      <c r="S389">
        <v>0.78</v>
      </c>
    </row>
    <row r="390" spans="1:19" x14ac:dyDescent="0.3">
      <c r="A390" t="s">
        <v>497</v>
      </c>
      <c r="B390">
        <v>2011</v>
      </c>
      <c r="C390" t="s">
        <v>19</v>
      </c>
      <c r="D390" t="s">
        <v>262</v>
      </c>
      <c r="E390">
        <v>2</v>
      </c>
      <c r="F390" t="s">
        <v>151</v>
      </c>
      <c r="G390" t="s">
        <v>872</v>
      </c>
      <c r="H390" t="s">
        <v>22</v>
      </c>
      <c r="I390" t="s">
        <v>23</v>
      </c>
      <c r="J390" t="s">
        <v>660</v>
      </c>
      <c r="K390" t="s">
        <v>357</v>
      </c>
      <c r="L390" t="s">
        <v>121</v>
      </c>
      <c r="M390" t="s">
        <v>40</v>
      </c>
      <c r="N390" t="s">
        <v>57</v>
      </c>
      <c r="O390" t="s">
        <v>873</v>
      </c>
      <c r="P390">
        <v>2.62</v>
      </c>
      <c r="Q390">
        <v>1</v>
      </c>
      <c r="R390">
        <v>0.2</v>
      </c>
      <c r="S390">
        <v>0.43</v>
      </c>
    </row>
    <row r="391" spans="1:19" x14ac:dyDescent="0.3">
      <c r="A391" s="1">
        <v>41985</v>
      </c>
      <c r="B391">
        <v>2014</v>
      </c>
      <c r="C391" t="s">
        <v>76</v>
      </c>
      <c r="D391" t="s">
        <v>874</v>
      </c>
      <c r="E391">
        <v>4</v>
      </c>
      <c r="F391" t="s">
        <v>45</v>
      </c>
      <c r="G391" t="s">
        <v>875</v>
      </c>
      <c r="H391" t="s">
        <v>22</v>
      </c>
      <c r="I391" t="s">
        <v>23</v>
      </c>
      <c r="J391" t="s">
        <v>208</v>
      </c>
      <c r="K391" t="s">
        <v>209</v>
      </c>
      <c r="L391" t="s">
        <v>121</v>
      </c>
      <c r="M391" t="s">
        <v>40</v>
      </c>
      <c r="N391" t="s">
        <v>62</v>
      </c>
      <c r="O391" t="s">
        <v>876</v>
      </c>
      <c r="P391">
        <v>23.36</v>
      </c>
      <c r="Q391">
        <v>4</v>
      </c>
      <c r="R391">
        <v>0.2</v>
      </c>
      <c r="S391">
        <v>7.88</v>
      </c>
    </row>
    <row r="392" spans="1:19" x14ac:dyDescent="0.3">
      <c r="A392" s="1">
        <v>41985</v>
      </c>
      <c r="B392">
        <v>2014</v>
      </c>
      <c r="C392" t="s">
        <v>76</v>
      </c>
      <c r="D392" t="s">
        <v>874</v>
      </c>
      <c r="E392">
        <v>4</v>
      </c>
      <c r="F392" t="s">
        <v>45</v>
      </c>
      <c r="G392" t="s">
        <v>875</v>
      </c>
      <c r="H392" t="s">
        <v>22</v>
      </c>
      <c r="I392" t="s">
        <v>23</v>
      </c>
      <c r="J392" t="s">
        <v>208</v>
      </c>
      <c r="K392" t="s">
        <v>209</v>
      </c>
      <c r="L392" t="s">
        <v>121</v>
      </c>
      <c r="M392" t="s">
        <v>59</v>
      </c>
      <c r="N392" t="s">
        <v>133</v>
      </c>
      <c r="O392" t="s">
        <v>289</v>
      </c>
      <c r="P392">
        <v>39.979999999999997</v>
      </c>
      <c r="Q392">
        <v>2</v>
      </c>
      <c r="R392">
        <v>0</v>
      </c>
      <c r="S392">
        <v>13.59</v>
      </c>
    </row>
    <row r="393" spans="1:19" x14ac:dyDescent="0.3">
      <c r="A393" t="s">
        <v>640</v>
      </c>
      <c r="B393">
        <v>2011</v>
      </c>
      <c r="C393" t="s">
        <v>124</v>
      </c>
      <c r="D393" t="s">
        <v>877</v>
      </c>
      <c r="E393">
        <v>2</v>
      </c>
      <c r="F393" t="s">
        <v>20</v>
      </c>
      <c r="G393" t="s">
        <v>878</v>
      </c>
      <c r="H393" t="s">
        <v>22</v>
      </c>
      <c r="I393" t="s">
        <v>23</v>
      </c>
      <c r="J393" t="s">
        <v>879</v>
      </c>
      <c r="K393" t="s">
        <v>79</v>
      </c>
      <c r="L393" t="s">
        <v>39</v>
      </c>
      <c r="M393" t="s">
        <v>59</v>
      </c>
      <c r="N393" t="s">
        <v>60</v>
      </c>
      <c r="O393" t="s">
        <v>880</v>
      </c>
      <c r="P393">
        <v>246.38</v>
      </c>
      <c r="Q393">
        <v>2</v>
      </c>
      <c r="R393">
        <v>0.2</v>
      </c>
      <c r="S393">
        <v>27.72</v>
      </c>
    </row>
    <row r="394" spans="1:19" x14ac:dyDescent="0.3">
      <c r="A394" t="s">
        <v>640</v>
      </c>
      <c r="B394">
        <v>2011</v>
      </c>
      <c r="C394" t="s">
        <v>124</v>
      </c>
      <c r="D394" t="s">
        <v>877</v>
      </c>
      <c r="E394">
        <v>2</v>
      </c>
      <c r="F394" t="s">
        <v>20</v>
      </c>
      <c r="G394" t="s">
        <v>878</v>
      </c>
      <c r="H394" t="s">
        <v>22</v>
      </c>
      <c r="I394" t="s">
        <v>23</v>
      </c>
      <c r="J394" t="s">
        <v>879</v>
      </c>
      <c r="K394" t="s">
        <v>79</v>
      </c>
      <c r="L394" t="s">
        <v>39</v>
      </c>
      <c r="M394" t="s">
        <v>59</v>
      </c>
      <c r="N394" t="s">
        <v>780</v>
      </c>
      <c r="O394" t="s">
        <v>881</v>
      </c>
      <c r="P394">
        <v>1799.97</v>
      </c>
      <c r="Q394">
        <v>3</v>
      </c>
      <c r="R394">
        <v>0</v>
      </c>
      <c r="S394">
        <v>701.99</v>
      </c>
    </row>
    <row r="395" spans="1:19" x14ac:dyDescent="0.3">
      <c r="A395" s="1">
        <v>40730</v>
      </c>
      <c r="B395">
        <v>2011</v>
      </c>
      <c r="C395" t="s">
        <v>33</v>
      </c>
      <c r="D395" s="1">
        <v>40822</v>
      </c>
      <c r="E395">
        <v>3</v>
      </c>
      <c r="F395" t="s">
        <v>20</v>
      </c>
      <c r="G395" t="s">
        <v>882</v>
      </c>
      <c r="H395" t="s">
        <v>36</v>
      </c>
      <c r="I395" t="s">
        <v>23</v>
      </c>
      <c r="J395" t="s">
        <v>883</v>
      </c>
      <c r="K395" t="s">
        <v>166</v>
      </c>
      <c r="L395" t="s">
        <v>87</v>
      </c>
      <c r="M395" t="s">
        <v>40</v>
      </c>
      <c r="N395" t="s">
        <v>62</v>
      </c>
      <c r="O395" t="s">
        <v>884</v>
      </c>
      <c r="P395">
        <v>12.46</v>
      </c>
      <c r="Q395">
        <v>3</v>
      </c>
      <c r="R395">
        <v>0.8</v>
      </c>
      <c r="S395">
        <v>-20.56</v>
      </c>
    </row>
    <row r="396" spans="1:19" x14ac:dyDescent="0.3">
      <c r="A396" s="1">
        <v>41646</v>
      </c>
      <c r="B396">
        <v>2014</v>
      </c>
      <c r="C396" t="s">
        <v>116</v>
      </c>
      <c r="D396" s="1">
        <v>41797</v>
      </c>
      <c r="E396">
        <v>5</v>
      </c>
      <c r="F396" t="s">
        <v>45</v>
      </c>
      <c r="G396" t="s">
        <v>885</v>
      </c>
      <c r="H396" t="s">
        <v>84</v>
      </c>
      <c r="I396" t="s">
        <v>23</v>
      </c>
      <c r="J396" t="s">
        <v>886</v>
      </c>
      <c r="K396" t="s">
        <v>887</v>
      </c>
      <c r="L396" t="s">
        <v>39</v>
      </c>
      <c r="M396" t="s">
        <v>40</v>
      </c>
      <c r="N396" t="s">
        <v>62</v>
      </c>
      <c r="O396" t="s">
        <v>888</v>
      </c>
      <c r="P396">
        <v>75.790000000000006</v>
      </c>
      <c r="Q396">
        <v>3</v>
      </c>
      <c r="R396">
        <v>0.2</v>
      </c>
      <c r="S396">
        <v>25.58</v>
      </c>
    </row>
    <row r="397" spans="1:19" x14ac:dyDescent="0.3">
      <c r="A397" t="s">
        <v>677</v>
      </c>
      <c r="B397">
        <v>2014</v>
      </c>
      <c r="C397" t="s">
        <v>43</v>
      </c>
      <c r="D397" t="s">
        <v>146</v>
      </c>
      <c r="E397">
        <v>2</v>
      </c>
      <c r="F397" t="s">
        <v>20</v>
      </c>
      <c r="G397" t="s">
        <v>889</v>
      </c>
      <c r="H397" t="s">
        <v>36</v>
      </c>
      <c r="I397" t="s">
        <v>23</v>
      </c>
      <c r="J397" t="s">
        <v>890</v>
      </c>
      <c r="K397" t="s">
        <v>891</v>
      </c>
      <c r="L397" t="s">
        <v>121</v>
      </c>
      <c r="M397" t="s">
        <v>40</v>
      </c>
      <c r="N397" t="s">
        <v>51</v>
      </c>
      <c r="O397" t="s">
        <v>892</v>
      </c>
      <c r="P397">
        <v>49.96</v>
      </c>
      <c r="Q397">
        <v>2</v>
      </c>
      <c r="R397">
        <v>0</v>
      </c>
      <c r="S397">
        <v>9.49</v>
      </c>
    </row>
    <row r="398" spans="1:19" x14ac:dyDescent="0.3">
      <c r="A398" t="s">
        <v>677</v>
      </c>
      <c r="B398">
        <v>2014</v>
      </c>
      <c r="C398" t="s">
        <v>43</v>
      </c>
      <c r="D398" t="s">
        <v>146</v>
      </c>
      <c r="E398">
        <v>2</v>
      </c>
      <c r="F398" t="s">
        <v>20</v>
      </c>
      <c r="G398" t="s">
        <v>889</v>
      </c>
      <c r="H398" t="s">
        <v>36</v>
      </c>
      <c r="I398" t="s">
        <v>23</v>
      </c>
      <c r="J398" t="s">
        <v>890</v>
      </c>
      <c r="K398" t="s">
        <v>891</v>
      </c>
      <c r="L398" t="s">
        <v>121</v>
      </c>
      <c r="M398" t="s">
        <v>40</v>
      </c>
      <c r="N398" t="s">
        <v>74</v>
      </c>
      <c r="O398" t="s">
        <v>893</v>
      </c>
      <c r="P398">
        <v>12.96</v>
      </c>
      <c r="Q398">
        <v>2</v>
      </c>
      <c r="R398">
        <v>0</v>
      </c>
      <c r="S398">
        <v>6.22</v>
      </c>
    </row>
    <row r="399" spans="1:19" x14ac:dyDescent="0.3">
      <c r="A399" t="s">
        <v>523</v>
      </c>
      <c r="B399">
        <v>2012</v>
      </c>
      <c r="C399" t="s">
        <v>43</v>
      </c>
      <c r="D399" s="1">
        <v>41010</v>
      </c>
      <c r="E399">
        <v>4</v>
      </c>
      <c r="F399" t="s">
        <v>45</v>
      </c>
      <c r="G399" t="s">
        <v>83</v>
      </c>
      <c r="H399" t="s">
        <v>84</v>
      </c>
      <c r="I399" t="s">
        <v>23</v>
      </c>
      <c r="J399" t="s">
        <v>249</v>
      </c>
      <c r="K399" t="s">
        <v>188</v>
      </c>
      <c r="L399" t="s">
        <v>87</v>
      </c>
      <c r="M399" t="s">
        <v>40</v>
      </c>
      <c r="N399" t="s">
        <v>402</v>
      </c>
      <c r="O399" t="s">
        <v>894</v>
      </c>
      <c r="P399">
        <v>70.12</v>
      </c>
      <c r="Q399">
        <v>4</v>
      </c>
      <c r="R399">
        <v>0</v>
      </c>
      <c r="S399">
        <v>21.04</v>
      </c>
    </row>
    <row r="400" spans="1:19" x14ac:dyDescent="0.3">
      <c r="A400" s="1">
        <v>41526</v>
      </c>
      <c r="B400">
        <v>2013</v>
      </c>
      <c r="C400" t="s">
        <v>124</v>
      </c>
      <c r="D400" s="1">
        <v>41587</v>
      </c>
      <c r="E400">
        <v>2</v>
      </c>
      <c r="F400" t="s">
        <v>20</v>
      </c>
      <c r="G400" t="s">
        <v>895</v>
      </c>
      <c r="H400" t="s">
        <v>22</v>
      </c>
      <c r="I400" t="s">
        <v>23</v>
      </c>
      <c r="J400" t="s">
        <v>149</v>
      </c>
      <c r="K400" t="s">
        <v>86</v>
      </c>
      <c r="L400" t="s">
        <v>87</v>
      </c>
      <c r="M400" t="s">
        <v>40</v>
      </c>
      <c r="N400" t="s">
        <v>51</v>
      </c>
      <c r="O400" t="s">
        <v>896</v>
      </c>
      <c r="P400">
        <v>35.950000000000003</v>
      </c>
      <c r="Q400">
        <v>3</v>
      </c>
      <c r="R400">
        <v>0.2</v>
      </c>
      <c r="S400">
        <v>3.6</v>
      </c>
    </row>
    <row r="401" spans="1:19" x14ac:dyDescent="0.3">
      <c r="A401" s="1">
        <v>41526</v>
      </c>
      <c r="B401">
        <v>2013</v>
      </c>
      <c r="C401" t="s">
        <v>124</v>
      </c>
      <c r="D401" s="1">
        <v>41587</v>
      </c>
      <c r="E401">
        <v>2</v>
      </c>
      <c r="F401" t="s">
        <v>20</v>
      </c>
      <c r="G401" t="s">
        <v>895</v>
      </c>
      <c r="H401" t="s">
        <v>22</v>
      </c>
      <c r="I401" t="s">
        <v>23</v>
      </c>
      <c r="J401" t="s">
        <v>149</v>
      </c>
      <c r="K401" t="s">
        <v>86</v>
      </c>
      <c r="L401" t="s">
        <v>87</v>
      </c>
      <c r="M401" t="s">
        <v>27</v>
      </c>
      <c r="N401" t="s">
        <v>28</v>
      </c>
      <c r="O401" t="s">
        <v>138</v>
      </c>
      <c r="P401">
        <v>2396.27</v>
      </c>
      <c r="Q401">
        <v>4</v>
      </c>
      <c r="R401">
        <v>0.32</v>
      </c>
      <c r="S401">
        <v>-317.14999999999998</v>
      </c>
    </row>
    <row r="402" spans="1:19" x14ac:dyDescent="0.3">
      <c r="A402" s="1">
        <v>41526</v>
      </c>
      <c r="B402">
        <v>2013</v>
      </c>
      <c r="C402" t="s">
        <v>124</v>
      </c>
      <c r="D402" s="1">
        <v>41587</v>
      </c>
      <c r="E402">
        <v>2</v>
      </c>
      <c r="F402" t="s">
        <v>20</v>
      </c>
      <c r="G402" t="s">
        <v>895</v>
      </c>
      <c r="H402" t="s">
        <v>22</v>
      </c>
      <c r="I402" t="s">
        <v>23</v>
      </c>
      <c r="J402" t="s">
        <v>149</v>
      </c>
      <c r="K402" t="s">
        <v>86</v>
      </c>
      <c r="L402" t="s">
        <v>87</v>
      </c>
      <c r="M402" t="s">
        <v>40</v>
      </c>
      <c r="N402" t="s">
        <v>51</v>
      </c>
      <c r="O402" t="s">
        <v>897</v>
      </c>
      <c r="P402">
        <v>131.13999999999999</v>
      </c>
      <c r="Q402">
        <v>4</v>
      </c>
      <c r="R402">
        <v>0.2</v>
      </c>
      <c r="S402">
        <v>-32.78</v>
      </c>
    </row>
    <row r="403" spans="1:19" x14ac:dyDescent="0.3">
      <c r="A403" s="1">
        <v>41526</v>
      </c>
      <c r="B403">
        <v>2013</v>
      </c>
      <c r="C403" t="s">
        <v>124</v>
      </c>
      <c r="D403" s="1">
        <v>41587</v>
      </c>
      <c r="E403">
        <v>2</v>
      </c>
      <c r="F403" t="s">
        <v>20</v>
      </c>
      <c r="G403" t="s">
        <v>895</v>
      </c>
      <c r="H403" t="s">
        <v>22</v>
      </c>
      <c r="I403" t="s">
        <v>23</v>
      </c>
      <c r="J403" t="s">
        <v>149</v>
      </c>
      <c r="K403" t="s">
        <v>86</v>
      </c>
      <c r="L403" t="s">
        <v>87</v>
      </c>
      <c r="M403" t="s">
        <v>59</v>
      </c>
      <c r="N403" t="s">
        <v>133</v>
      </c>
      <c r="O403" t="s">
        <v>898</v>
      </c>
      <c r="P403">
        <v>57.58</v>
      </c>
      <c r="Q403">
        <v>2</v>
      </c>
      <c r="R403">
        <v>0.2</v>
      </c>
      <c r="S403">
        <v>0.72</v>
      </c>
    </row>
    <row r="404" spans="1:19" x14ac:dyDescent="0.3">
      <c r="A404" t="s">
        <v>899</v>
      </c>
      <c r="B404">
        <v>2011</v>
      </c>
      <c r="C404" t="s">
        <v>76</v>
      </c>
      <c r="D404" t="s">
        <v>373</v>
      </c>
      <c r="E404">
        <v>2</v>
      </c>
      <c r="F404" t="s">
        <v>151</v>
      </c>
      <c r="G404" t="s">
        <v>900</v>
      </c>
      <c r="H404" t="s">
        <v>22</v>
      </c>
      <c r="I404" t="s">
        <v>23</v>
      </c>
      <c r="J404" t="s">
        <v>901</v>
      </c>
      <c r="K404" t="s">
        <v>48</v>
      </c>
      <c r="L404" t="s">
        <v>26</v>
      </c>
      <c r="M404" t="s">
        <v>40</v>
      </c>
      <c r="N404" t="s">
        <v>74</v>
      </c>
      <c r="O404" t="s">
        <v>902</v>
      </c>
      <c r="P404">
        <v>9.57</v>
      </c>
      <c r="Q404">
        <v>2</v>
      </c>
      <c r="R404">
        <v>0.2</v>
      </c>
      <c r="S404">
        <v>3.47</v>
      </c>
    </row>
    <row r="405" spans="1:19" x14ac:dyDescent="0.3">
      <c r="A405" t="s">
        <v>903</v>
      </c>
      <c r="B405">
        <v>2011</v>
      </c>
      <c r="C405" t="s">
        <v>69</v>
      </c>
      <c r="D405" t="s">
        <v>904</v>
      </c>
      <c r="E405">
        <v>4</v>
      </c>
      <c r="F405" t="s">
        <v>45</v>
      </c>
      <c r="G405" t="s">
        <v>434</v>
      </c>
      <c r="H405" t="s">
        <v>36</v>
      </c>
      <c r="I405" t="s">
        <v>23</v>
      </c>
      <c r="J405" t="s">
        <v>368</v>
      </c>
      <c r="K405" t="s">
        <v>73</v>
      </c>
      <c r="L405" t="s">
        <v>26</v>
      </c>
      <c r="M405" t="s">
        <v>40</v>
      </c>
      <c r="N405" t="s">
        <v>57</v>
      </c>
      <c r="O405" t="s">
        <v>905</v>
      </c>
      <c r="P405">
        <v>39.07</v>
      </c>
      <c r="Q405">
        <v>6</v>
      </c>
      <c r="R405">
        <v>0.2</v>
      </c>
      <c r="S405">
        <v>9.77</v>
      </c>
    </row>
    <row r="406" spans="1:19" x14ac:dyDescent="0.3">
      <c r="A406" t="s">
        <v>906</v>
      </c>
      <c r="B406">
        <v>2014</v>
      </c>
      <c r="C406" t="s">
        <v>76</v>
      </c>
      <c r="D406" t="s">
        <v>907</v>
      </c>
      <c r="E406">
        <v>5</v>
      </c>
      <c r="F406" t="s">
        <v>45</v>
      </c>
      <c r="G406" t="s">
        <v>908</v>
      </c>
      <c r="H406" t="s">
        <v>22</v>
      </c>
      <c r="I406" t="s">
        <v>23</v>
      </c>
      <c r="J406" t="s">
        <v>208</v>
      </c>
      <c r="K406" t="s">
        <v>209</v>
      </c>
      <c r="L406" t="s">
        <v>121</v>
      </c>
      <c r="M406" t="s">
        <v>40</v>
      </c>
      <c r="N406" t="s">
        <v>64</v>
      </c>
      <c r="O406" t="s">
        <v>150</v>
      </c>
      <c r="P406">
        <v>35.909999999999997</v>
      </c>
      <c r="Q406">
        <v>3</v>
      </c>
      <c r="R406">
        <v>0</v>
      </c>
      <c r="S406">
        <v>9.6999999999999993</v>
      </c>
    </row>
    <row r="407" spans="1:19" x14ac:dyDescent="0.3">
      <c r="A407" s="1">
        <v>41894</v>
      </c>
      <c r="B407">
        <v>2014</v>
      </c>
      <c r="C407" t="s">
        <v>76</v>
      </c>
      <c r="D407" t="s">
        <v>909</v>
      </c>
      <c r="E407">
        <v>4</v>
      </c>
      <c r="F407" t="s">
        <v>45</v>
      </c>
      <c r="G407" t="s">
        <v>910</v>
      </c>
      <c r="H407" t="s">
        <v>22</v>
      </c>
      <c r="I407" t="s">
        <v>23</v>
      </c>
      <c r="J407" t="s">
        <v>105</v>
      </c>
      <c r="K407" t="s">
        <v>38</v>
      </c>
      <c r="L407" t="s">
        <v>39</v>
      </c>
      <c r="M407" t="s">
        <v>59</v>
      </c>
      <c r="N407" t="s">
        <v>133</v>
      </c>
      <c r="O407" t="s">
        <v>898</v>
      </c>
      <c r="P407">
        <v>179.95</v>
      </c>
      <c r="Q407">
        <v>5</v>
      </c>
      <c r="R407">
        <v>0</v>
      </c>
      <c r="S407">
        <v>37.79</v>
      </c>
    </row>
    <row r="408" spans="1:19" x14ac:dyDescent="0.3">
      <c r="A408" s="1">
        <v>41894</v>
      </c>
      <c r="B408">
        <v>2014</v>
      </c>
      <c r="C408" t="s">
        <v>76</v>
      </c>
      <c r="D408" t="s">
        <v>909</v>
      </c>
      <c r="E408">
        <v>4</v>
      </c>
      <c r="F408" t="s">
        <v>45</v>
      </c>
      <c r="G408" t="s">
        <v>910</v>
      </c>
      <c r="H408" t="s">
        <v>22</v>
      </c>
      <c r="I408" t="s">
        <v>23</v>
      </c>
      <c r="J408" t="s">
        <v>105</v>
      </c>
      <c r="K408" t="s">
        <v>38</v>
      </c>
      <c r="L408" t="s">
        <v>39</v>
      </c>
      <c r="M408" t="s">
        <v>59</v>
      </c>
      <c r="N408" t="s">
        <v>780</v>
      </c>
      <c r="O408" t="s">
        <v>911</v>
      </c>
      <c r="P408">
        <v>1199.98</v>
      </c>
      <c r="Q408">
        <v>3</v>
      </c>
      <c r="R408">
        <v>0.2</v>
      </c>
      <c r="S408">
        <v>434.99</v>
      </c>
    </row>
    <row r="409" spans="1:19" x14ac:dyDescent="0.3">
      <c r="A409" s="1">
        <v>41894</v>
      </c>
      <c r="B409">
        <v>2014</v>
      </c>
      <c r="C409" t="s">
        <v>76</v>
      </c>
      <c r="D409" t="s">
        <v>909</v>
      </c>
      <c r="E409">
        <v>4</v>
      </c>
      <c r="F409" t="s">
        <v>45</v>
      </c>
      <c r="G409" t="s">
        <v>910</v>
      </c>
      <c r="H409" t="s">
        <v>22</v>
      </c>
      <c r="I409" t="s">
        <v>23</v>
      </c>
      <c r="J409" t="s">
        <v>105</v>
      </c>
      <c r="K409" t="s">
        <v>38</v>
      </c>
      <c r="L409" t="s">
        <v>39</v>
      </c>
      <c r="M409" t="s">
        <v>40</v>
      </c>
      <c r="N409" t="s">
        <v>74</v>
      </c>
      <c r="O409" t="s">
        <v>912</v>
      </c>
      <c r="P409">
        <v>27.15</v>
      </c>
      <c r="Q409">
        <v>5</v>
      </c>
      <c r="R409">
        <v>0</v>
      </c>
      <c r="S409">
        <v>13.3</v>
      </c>
    </row>
    <row r="410" spans="1:19" x14ac:dyDescent="0.3">
      <c r="A410" s="1">
        <v>41894</v>
      </c>
      <c r="B410">
        <v>2014</v>
      </c>
      <c r="C410" t="s">
        <v>76</v>
      </c>
      <c r="D410" t="s">
        <v>909</v>
      </c>
      <c r="E410">
        <v>4</v>
      </c>
      <c r="F410" t="s">
        <v>45</v>
      </c>
      <c r="G410" t="s">
        <v>910</v>
      </c>
      <c r="H410" t="s">
        <v>22</v>
      </c>
      <c r="I410" t="s">
        <v>23</v>
      </c>
      <c r="J410" t="s">
        <v>105</v>
      </c>
      <c r="K410" t="s">
        <v>38</v>
      </c>
      <c r="L410" t="s">
        <v>39</v>
      </c>
      <c r="M410" t="s">
        <v>27</v>
      </c>
      <c r="N410" t="s">
        <v>49</v>
      </c>
      <c r="O410" t="s">
        <v>913</v>
      </c>
      <c r="P410">
        <v>1004.02</v>
      </c>
      <c r="Q410">
        <v>7</v>
      </c>
      <c r="R410">
        <v>0.2</v>
      </c>
      <c r="S410">
        <v>-112.95</v>
      </c>
    </row>
    <row r="411" spans="1:19" x14ac:dyDescent="0.3">
      <c r="A411" s="1">
        <v>41894</v>
      </c>
      <c r="B411">
        <v>2014</v>
      </c>
      <c r="C411" t="s">
        <v>76</v>
      </c>
      <c r="D411" t="s">
        <v>909</v>
      </c>
      <c r="E411">
        <v>4</v>
      </c>
      <c r="F411" t="s">
        <v>45</v>
      </c>
      <c r="G411" t="s">
        <v>910</v>
      </c>
      <c r="H411" t="s">
        <v>22</v>
      </c>
      <c r="I411" t="s">
        <v>23</v>
      </c>
      <c r="J411" t="s">
        <v>105</v>
      </c>
      <c r="K411" t="s">
        <v>38</v>
      </c>
      <c r="L411" t="s">
        <v>39</v>
      </c>
      <c r="M411" t="s">
        <v>40</v>
      </c>
      <c r="N411" t="s">
        <v>74</v>
      </c>
      <c r="O411" t="s">
        <v>914</v>
      </c>
      <c r="P411">
        <v>9.68</v>
      </c>
      <c r="Q411">
        <v>1</v>
      </c>
      <c r="R411">
        <v>0</v>
      </c>
      <c r="S411">
        <v>4.6500000000000004</v>
      </c>
    </row>
    <row r="412" spans="1:19" x14ac:dyDescent="0.3">
      <c r="A412" s="1">
        <v>41894</v>
      </c>
      <c r="B412">
        <v>2014</v>
      </c>
      <c r="C412" t="s">
        <v>76</v>
      </c>
      <c r="D412" t="s">
        <v>909</v>
      </c>
      <c r="E412">
        <v>4</v>
      </c>
      <c r="F412" t="s">
        <v>45</v>
      </c>
      <c r="G412" t="s">
        <v>910</v>
      </c>
      <c r="H412" t="s">
        <v>22</v>
      </c>
      <c r="I412" t="s">
        <v>23</v>
      </c>
      <c r="J412" t="s">
        <v>105</v>
      </c>
      <c r="K412" t="s">
        <v>38</v>
      </c>
      <c r="L412" t="s">
        <v>39</v>
      </c>
      <c r="M412" t="s">
        <v>40</v>
      </c>
      <c r="N412" t="s">
        <v>41</v>
      </c>
      <c r="O412" t="s">
        <v>915</v>
      </c>
      <c r="P412">
        <v>28.35</v>
      </c>
      <c r="Q412">
        <v>9</v>
      </c>
      <c r="R412">
        <v>0</v>
      </c>
      <c r="S412">
        <v>13.61</v>
      </c>
    </row>
    <row r="413" spans="1:19" x14ac:dyDescent="0.3">
      <c r="A413" s="1">
        <v>41894</v>
      </c>
      <c r="B413">
        <v>2014</v>
      </c>
      <c r="C413" t="s">
        <v>76</v>
      </c>
      <c r="D413" t="s">
        <v>909</v>
      </c>
      <c r="E413">
        <v>4</v>
      </c>
      <c r="F413" t="s">
        <v>45</v>
      </c>
      <c r="G413" t="s">
        <v>910</v>
      </c>
      <c r="H413" t="s">
        <v>22</v>
      </c>
      <c r="I413" t="s">
        <v>23</v>
      </c>
      <c r="J413" t="s">
        <v>105</v>
      </c>
      <c r="K413" t="s">
        <v>38</v>
      </c>
      <c r="L413" t="s">
        <v>39</v>
      </c>
      <c r="M413" t="s">
        <v>40</v>
      </c>
      <c r="N413" t="s">
        <v>74</v>
      </c>
      <c r="O413" t="s">
        <v>916</v>
      </c>
      <c r="P413">
        <v>55.98</v>
      </c>
      <c r="Q413">
        <v>1</v>
      </c>
      <c r="R413">
        <v>0</v>
      </c>
      <c r="S413">
        <v>27.43</v>
      </c>
    </row>
    <row r="414" spans="1:19" x14ac:dyDescent="0.3">
      <c r="A414" s="1">
        <v>41894</v>
      </c>
      <c r="B414">
        <v>2014</v>
      </c>
      <c r="C414" t="s">
        <v>76</v>
      </c>
      <c r="D414" t="s">
        <v>909</v>
      </c>
      <c r="E414">
        <v>4</v>
      </c>
      <c r="F414" t="s">
        <v>45</v>
      </c>
      <c r="G414" t="s">
        <v>910</v>
      </c>
      <c r="H414" t="s">
        <v>22</v>
      </c>
      <c r="I414" t="s">
        <v>23</v>
      </c>
      <c r="J414" t="s">
        <v>105</v>
      </c>
      <c r="K414" t="s">
        <v>38</v>
      </c>
      <c r="L414" t="s">
        <v>39</v>
      </c>
      <c r="M414" t="s">
        <v>27</v>
      </c>
      <c r="N414" t="s">
        <v>28</v>
      </c>
      <c r="O414" t="s">
        <v>917</v>
      </c>
      <c r="P414">
        <v>1336.83</v>
      </c>
      <c r="Q414">
        <v>13</v>
      </c>
      <c r="R414">
        <v>0.15</v>
      </c>
      <c r="S414">
        <v>31.45</v>
      </c>
    </row>
    <row r="415" spans="1:19" x14ac:dyDescent="0.3">
      <c r="A415" s="1">
        <v>41894</v>
      </c>
      <c r="B415">
        <v>2014</v>
      </c>
      <c r="C415" t="s">
        <v>76</v>
      </c>
      <c r="D415" t="s">
        <v>909</v>
      </c>
      <c r="E415">
        <v>4</v>
      </c>
      <c r="F415" t="s">
        <v>45</v>
      </c>
      <c r="G415" t="s">
        <v>910</v>
      </c>
      <c r="H415" t="s">
        <v>22</v>
      </c>
      <c r="I415" t="s">
        <v>23</v>
      </c>
      <c r="J415" t="s">
        <v>105</v>
      </c>
      <c r="K415" t="s">
        <v>38</v>
      </c>
      <c r="L415" t="s">
        <v>39</v>
      </c>
      <c r="M415" t="s">
        <v>27</v>
      </c>
      <c r="N415" t="s">
        <v>30</v>
      </c>
      <c r="O415" t="s">
        <v>918</v>
      </c>
      <c r="P415">
        <v>113.57</v>
      </c>
      <c r="Q415">
        <v>2</v>
      </c>
      <c r="R415">
        <v>0.2</v>
      </c>
      <c r="S415">
        <v>-18.45</v>
      </c>
    </row>
    <row r="416" spans="1:19" x14ac:dyDescent="0.3">
      <c r="A416" s="1">
        <v>41740</v>
      </c>
      <c r="B416">
        <v>2014</v>
      </c>
      <c r="C416" t="s">
        <v>19</v>
      </c>
      <c r="D416" s="1">
        <v>41862</v>
      </c>
      <c r="E416">
        <v>4</v>
      </c>
      <c r="F416" t="s">
        <v>45</v>
      </c>
      <c r="G416" t="s">
        <v>919</v>
      </c>
      <c r="H416" t="s">
        <v>36</v>
      </c>
      <c r="I416" t="s">
        <v>23</v>
      </c>
      <c r="J416" t="s">
        <v>78</v>
      </c>
      <c r="K416" t="s">
        <v>79</v>
      </c>
      <c r="L416" t="s">
        <v>39</v>
      </c>
      <c r="M416" t="s">
        <v>40</v>
      </c>
      <c r="N416" t="s">
        <v>74</v>
      </c>
      <c r="O416" t="s">
        <v>920</v>
      </c>
      <c r="P416">
        <v>139.86000000000001</v>
      </c>
      <c r="Q416">
        <v>7</v>
      </c>
      <c r="R416">
        <v>0</v>
      </c>
      <c r="S416">
        <v>65.73</v>
      </c>
    </row>
    <row r="417" spans="1:19" x14ac:dyDescent="0.3">
      <c r="A417" s="1">
        <v>41740</v>
      </c>
      <c r="B417">
        <v>2014</v>
      </c>
      <c r="C417" t="s">
        <v>19</v>
      </c>
      <c r="D417" s="1">
        <v>41862</v>
      </c>
      <c r="E417">
        <v>4</v>
      </c>
      <c r="F417" t="s">
        <v>45</v>
      </c>
      <c r="G417" t="s">
        <v>919</v>
      </c>
      <c r="H417" t="s">
        <v>36</v>
      </c>
      <c r="I417" t="s">
        <v>23</v>
      </c>
      <c r="J417" t="s">
        <v>78</v>
      </c>
      <c r="K417" t="s">
        <v>79</v>
      </c>
      <c r="L417" t="s">
        <v>39</v>
      </c>
      <c r="M417" t="s">
        <v>27</v>
      </c>
      <c r="N417" t="s">
        <v>30</v>
      </c>
      <c r="O417" t="s">
        <v>705</v>
      </c>
      <c r="P417">
        <v>307.14</v>
      </c>
      <c r="Q417">
        <v>4</v>
      </c>
      <c r="R417">
        <v>0.2</v>
      </c>
      <c r="S417">
        <v>26.87</v>
      </c>
    </row>
    <row r="418" spans="1:19" x14ac:dyDescent="0.3">
      <c r="A418" t="s">
        <v>540</v>
      </c>
      <c r="B418">
        <v>2014</v>
      </c>
      <c r="C418" t="s">
        <v>33</v>
      </c>
      <c r="D418" t="s">
        <v>921</v>
      </c>
      <c r="E418">
        <v>4</v>
      </c>
      <c r="F418" t="s">
        <v>45</v>
      </c>
      <c r="G418" t="s">
        <v>922</v>
      </c>
      <c r="H418" t="s">
        <v>22</v>
      </c>
      <c r="I418" t="s">
        <v>23</v>
      </c>
      <c r="J418" t="s">
        <v>923</v>
      </c>
      <c r="K418" t="s">
        <v>38</v>
      </c>
      <c r="L418" t="s">
        <v>39</v>
      </c>
      <c r="M418" t="s">
        <v>40</v>
      </c>
      <c r="N418" t="s">
        <v>57</v>
      </c>
      <c r="O418" t="s">
        <v>924</v>
      </c>
      <c r="P418">
        <v>95.92</v>
      </c>
      <c r="Q418">
        <v>8</v>
      </c>
      <c r="R418">
        <v>0</v>
      </c>
      <c r="S418">
        <v>25.9</v>
      </c>
    </row>
    <row r="419" spans="1:19" x14ac:dyDescent="0.3">
      <c r="A419" t="s">
        <v>925</v>
      </c>
      <c r="B419">
        <v>2013</v>
      </c>
      <c r="C419" t="s">
        <v>69</v>
      </c>
      <c r="D419" t="s">
        <v>926</v>
      </c>
      <c r="E419">
        <v>4</v>
      </c>
      <c r="F419" t="s">
        <v>45</v>
      </c>
      <c r="G419" t="s">
        <v>927</v>
      </c>
      <c r="H419" t="s">
        <v>22</v>
      </c>
      <c r="I419" t="s">
        <v>23</v>
      </c>
      <c r="J419" t="s">
        <v>37</v>
      </c>
      <c r="K419" t="s">
        <v>38</v>
      </c>
      <c r="L419" t="s">
        <v>39</v>
      </c>
      <c r="M419" t="s">
        <v>27</v>
      </c>
      <c r="N419" t="s">
        <v>30</v>
      </c>
      <c r="O419" t="s">
        <v>928</v>
      </c>
      <c r="P419">
        <v>383.8</v>
      </c>
      <c r="Q419">
        <v>5</v>
      </c>
      <c r="R419">
        <v>0.2</v>
      </c>
      <c r="S419">
        <v>38.380000000000003</v>
      </c>
    </row>
    <row r="420" spans="1:19" x14ac:dyDescent="0.3">
      <c r="A420" s="1">
        <v>41831</v>
      </c>
      <c r="B420">
        <v>2014</v>
      </c>
      <c r="C420" t="s">
        <v>19</v>
      </c>
      <c r="D420" s="1">
        <v>41954</v>
      </c>
      <c r="E420">
        <v>4</v>
      </c>
      <c r="F420" t="s">
        <v>45</v>
      </c>
      <c r="G420" t="s">
        <v>816</v>
      </c>
      <c r="H420" t="s">
        <v>36</v>
      </c>
      <c r="I420" t="s">
        <v>23</v>
      </c>
      <c r="J420" t="s">
        <v>929</v>
      </c>
      <c r="K420" t="s">
        <v>25</v>
      </c>
      <c r="L420" t="s">
        <v>26</v>
      </c>
      <c r="M420" t="s">
        <v>40</v>
      </c>
      <c r="N420" t="s">
        <v>74</v>
      </c>
      <c r="O420" t="s">
        <v>930</v>
      </c>
      <c r="P420">
        <v>5.78</v>
      </c>
      <c r="Q420">
        <v>1</v>
      </c>
      <c r="R420">
        <v>0</v>
      </c>
      <c r="S420">
        <v>2.83</v>
      </c>
    </row>
    <row r="421" spans="1:19" x14ac:dyDescent="0.3">
      <c r="A421" s="1">
        <v>41762</v>
      </c>
      <c r="B421">
        <v>2014</v>
      </c>
      <c r="C421" t="s">
        <v>177</v>
      </c>
      <c r="D421" s="1">
        <v>41915</v>
      </c>
      <c r="E421">
        <v>5</v>
      </c>
      <c r="F421" t="s">
        <v>45</v>
      </c>
      <c r="G421" t="s">
        <v>747</v>
      </c>
      <c r="H421" t="s">
        <v>36</v>
      </c>
      <c r="I421" t="s">
        <v>23</v>
      </c>
      <c r="J421" t="s">
        <v>37</v>
      </c>
      <c r="K421" t="s">
        <v>38</v>
      </c>
      <c r="L421" t="s">
        <v>39</v>
      </c>
      <c r="M421" t="s">
        <v>40</v>
      </c>
      <c r="N421" t="s">
        <v>57</v>
      </c>
      <c r="O421" t="s">
        <v>931</v>
      </c>
      <c r="P421">
        <v>9.32</v>
      </c>
      <c r="Q421">
        <v>4</v>
      </c>
      <c r="R421">
        <v>0</v>
      </c>
      <c r="S421">
        <v>2.7</v>
      </c>
    </row>
    <row r="422" spans="1:19" x14ac:dyDescent="0.3">
      <c r="A422" s="1">
        <v>41762</v>
      </c>
      <c r="B422">
        <v>2014</v>
      </c>
      <c r="C422" t="s">
        <v>177</v>
      </c>
      <c r="D422" s="1">
        <v>41915</v>
      </c>
      <c r="E422">
        <v>5</v>
      </c>
      <c r="F422" t="s">
        <v>45</v>
      </c>
      <c r="G422" t="s">
        <v>747</v>
      </c>
      <c r="H422" t="s">
        <v>36</v>
      </c>
      <c r="I422" t="s">
        <v>23</v>
      </c>
      <c r="J422" t="s">
        <v>37</v>
      </c>
      <c r="K422" t="s">
        <v>38</v>
      </c>
      <c r="L422" t="s">
        <v>39</v>
      </c>
      <c r="M422" t="s">
        <v>40</v>
      </c>
      <c r="N422" t="s">
        <v>141</v>
      </c>
      <c r="O422" t="s">
        <v>932</v>
      </c>
      <c r="P422">
        <v>15.25</v>
      </c>
      <c r="Q422">
        <v>1</v>
      </c>
      <c r="R422">
        <v>0</v>
      </c>
      <c r="S422">
        <v>7.02</v>
      </c>
    </row>
    <row r="423" spans="1:19" x14ac:dyDescent="0.3">
      <c r="A423" t="s">
        <v>933</v>
      </c>
      <c r="B423">
        <v>2011</v>
      </c>
      <c r="C423" t="s">
        <v>33</v>
      </c>
      <c r="D423" t="s">
        <v>934</v>
      </c>
      <c r="E423">
        <v>3</v>
      </c>
      <c r="F423" t="s">
        <v>151</v>
      </c>
      <c r="G423" t="s">
        <v>252</v>
      </c>
      <c r="H423" t="s">
        <v>22</v>
      </c>
      <c r="I423" t="s">
        <v>23</v>
      </c>
      <c r="J423" t="s">
        <v>935</v>
      </c>
      <c r="K423" t="s">
        <v>329</v>
      </c>
      <c r="L423" t="s">
        <v>39</v>
      </c>
      <c r="M423" t="s">
        <v>59</v>
      </c>
      <c r="N423" t="s">
        <v>133</v>
      </c>
      <c r="O423" t="s">
        <v>936</v>
      </c>
      <c r="P423">
        <v>196.75</v>
      </c>
      <c r="Q423">
        <v>6</v>
      </c>
      <c r="R423">
        <v>0.2</v>
      </c>
      <c r="S423">
        <v>56.57</v>
      </c>
    </row>
    <row r="424" spans="1:19" x14ac:dyDescent="0.3">
      <c r="A424" t="s">
        <v>146</v>
      </c>
      <c r="B424">
        <v>2014</v>
      </c>
      <c r="C424" t="s">
        <v>43</v>
      </c>
      <c r="D424" t="s">
        <v>147</v>
      </c>
      <c r="E424">
        <v>4</v>
      </c>
      <c r="F424" t="s">
        <v>45</v>
      </c>
      <c r="G424" t="s">
        <v>937</v>
      </c>
      <c r="H424" t="s">
        <v>36</v>
      </c>
      <c r="I424" t="s">
        <v>23</v>
      </c>
      <c r="J424" t="s">
        <v>938</v>
      </c>
      <c r="K424" t="s">
        <v>803</v>
      </c>
      <c r="L424" t="s">
        <v>121</v>
      </c>
      <c r="M424" t="s">
        <v>27</v>
      </c>
      <c r="N424" t="s">
        <v>55</v>
      </c>
      <c r="O424" t="s">
        <v>939</v>
      </c>
      <c r="P424">
        <v>56.56</v>
      </c>
      <c r="Q424">
        <v>4</v>
      </c>
      <c r="R424">
        <v>0</v>
      </c>
      <c r="S424">
        <v>14.71</v>
      </c>
    </row>
    <row r="425" spans="1:19" x14ac:dyDescent="0.3">
      <c r="A425" t="s">
        <v>146</v>
      </c>
      <c r="B425">
        <v>2014</v>
      </c>
      <c r="C425" t="s">
        <v>43</v>
      </c>
      <c r="D425" t="s">
        <v>147</v>
      </c>
      <c r="E425">
        <v>4</v>
      </c>
      <c r="F425" t="s">
        <v>45</v>
      </c>
      <c r="G425" t="s">
        <v>937</v>
      </c>
      <c r="H425" t="s">
        <v>36</v>
      </c>
      <c r="I425" t="s">
        <v>23</v>
      </c>
      <c r="J425" t="s">
        <v>938</v>
      </c>
      <c r="K425" t="s">
        <v>803</v>
      </c>
      <c r="L425" t="s">
        <v>121</v>
      </c>
      <c r="M425" t="s">
        <v>40</v>
      </c>
      <c r="N425" t="s">
        <v>51</v>
      </c>
      <c r="O425" t="s">
        <v>940</v>
      </c>
      <c r="P425">
        <v>32.700000000000003</v>
      </c>
      <c r="Q425">
        <v>3</v>
      </c>
      <c r="R425">
        <v>0</v>
      </c>
      <c r="S425">
        <v>8.5</v>
      </c>
    </row>
    <row r="426" spans="1:19" x14ac:dyDescent="0.3">
      <c r="A426" t="s">
        <v>941</v>
      </c>
      <c r="B426">
        <v>2014</v>
      </c>
      <c r="C426" t="s">
        <v>103</v>
      </c>
      <c r="D426" t="s">
        <v>942</v>
      </c>
      <c r="E426">
        <v>2</v>
      </c>
      <c r="F426" t="s">
        <v>20</v>
      </c>
      <c r="G426" t="s">
        <v>943</v>
      </c>
      <c r="H426" t="s">
        <v>22</v>
      </c>
      <c r="I426" t="s">
        <v>23</v>
      </c>
      <c r="J426" t="s">
        <v>249</v>
      </c>
      <c r="K426" t="s">
        <v>944</v>
      </c>
      <c r="L426" t="s">
        <v>26</v>
      </c>
      <c r="M426" t="s">
        <v>27</v>
      </c>
      <c r="N426" t="s">
        <v>30</v>
      </c>
      <c r="O426" t="s">
        <v>945</v>
      </c>
      <c r="P426">
        <v>866.4</v>
      </c>
      <c r="Q426">
        <v>4</v>
      </c>
      <c r="R426">
        <v>0</v>
      </c>
      <c r="S426">
        <v>225.26</v>
      </c>
    </row>
    <row r="427" spans="1:19" x14ac:dyDescent="0.3">
      <c r="A427" t="s">
        <v>333</v>
      </c>
      <c r="B427">
        <v>2014</v>
      </c>
      <c r="C427" t="s">
        <v>19</v>
      </c>
      <c r="D427" t="s">
        <v>946</v>
      </c>
      <c r="E427">
        <v>3</v>
      </c>
      <c r="F427" t="s">
        <v>20</v>
      </c>
      <c r="G427" t="s">
        <v>207</v>
      </c>
      <c r="H427" t="s">
        <v>36</v>
      </c>
      <c r="I427" t="s">
        <v>23</v>
      </c>
      <c r="J427" t="s">
        <v>947</v>
      </c>
      <c r="K427" t="s">
        <v>188</v>
      </c>
      <c r="L427" t="s">
        <v>87</v>
      </c>
      <c r="M427" t="s">
        <v>27</v>
      </c>
      <c r="N427" t="s">
        <v>55</v>
      </c>
      <c r="O427" t="s">
        <v>948</v>
      </c>
      <c r="P427">
        <v>28.4</v>
      </c>
      <c r="Q427">
        <v>2</v>
      </c>
      <c r="R427">
        <v>0</v>
      </c>
      <c r="S427">
        <v>11.08</v>
      </c>
    </row>
    <row r="428" spans="1:19" x14ac:dyDescent="0.3">
      <c r="A428" t="s">
        <v>333</v>
      </c>
      <c r="B428">
        <v>2014</v>
      </c>
      <c r="C428" t="s">
        <v>19</v>
      </c>
      <c r="D428" t="s">
        <v>946</v>
      </c>
      <c r="E428">
        <v>3</v>
      </c>
      <c r="F428" t="s">
        <v>20</v>
      </c>
      <c r="G428" t="s">
        <v>207</v>
      </c>
      <c r="H428" t="s">
        <v>36</v>
      </c>
      <c r="I428" t="s">
        <v>23</v>
      </c>
      <c r="J428" t="s">
        <v>947</v>
      </c>
      <c r="K428" t="s">
        <v>188</v>
      </c>
      <c r="L428" t="s">
        <v>87</v>
      </c>
      <c r="M428" t="s">
        <v>40</v>
      </c>
      <c r="N428" t="s">
        <v>62</v>
      </c>
      <c r="O428" t="s">
        <v>949</v>
      </c>
      <c r="P428">
        <v>287.92</v>
      </c>
      <c r="Q428">
        <v>8</v>
      </c>
      <c r="R428">
        <v>0</v>
      </c>
      <c r="S428">
        <v>138.19999999999999</v>
      </c>
    </row>
    <row r="429" spans="1:19" x14ac:dyDescent="0.3">
      <c r="A429" s="1">
        <v>40886</v>
      </c>
      <c r="B429">
        <v>2011</v>
      </c>
      <c r="C429" t="s">
        <v>124</v>
      </c>
      <c r="D429" t="s">
        <v>596</v>
      </c>
      <c r="E429">
        <v>1</v>
      </c>
      <c r="F429" t="s">
        <v>151</v>
      </c>
      <c r="G429" t="s">
        <v>950</v>
      </c>
      <c r="H429" t="s">
        <v>84</v>
      </c>
      <c r="I429" t="s">
        <v>23</v>
      </c>
      <c r="J429" t="s">
        <v>951</v>
      </c>
      <c r="K429" t="s">
        <v>209</v>
      </c>
      <c r="L429" t="s">
        <v>121</v>
      </c>
      <c r="M429" t="s">
        <v>59</v>
      </c>
      <c r="N429" t="s">
        <v>465</v>
      </c>
      <c r="O429" t="s">
        <v>952</v>
      </c>
      <c r="P429">
        <v>69.989999999999995</v>
      </c>
      <c r="Q429">
        <v>1</v>
      </c>
      <c r="R429">
        <v>0</v>
      </c>
      <c r="S429">
        <v>30.1</v>
      </c>
    </row>
    <row r="430" spans="1:19" x14ac:dyDescent="0.3">
      <c r="A430" s="1">
        <v>41680</v>
      </c>
      <c r="B430">
        <v>2014</v>
      </c>
      <c r="C430" t="s">
        <v>43</v>
      </c>
      <c r="D430" s="1">
        <v>41892</v>
      </c>
      <c r="E430">
        <v>7</v>
      </c>
      <c r="F430" t="s">
        <v>45</v>
      </c>
      <c r="G430" t="s">
        <v>953</v>
      </c>
      <c r="H430" t="s">
        <v>36</v>
      </c>
      <c r="I430" t="s">
        <v>23</v>
      </c>
      <c r="J430" t="s">
        <v>463</v>
      </c>
      <c r="K430" t="s">
        <v>86</v>
      </c>
      <c r="L430" t="s">
        <v>87</v>
      </c>
      <c r="M430" t="s">
        <v>40</v>
      </c>
      <c r="N430" t="s">
        <v>57</v>
      </c>
      <c r="O430" t="s">
        <v>954</v>
      </c>
      <c r="P430">
        <v>6.67</v>
      </c>
      <c r="Q430">
        <v>6</v>
      </c>
      <c r="R430">
        <v>0.2</v>
      </c>
      <c r="S430">
        <v>0.5</v>
      </c>
    </row>
    <row r="431" spans="1:19" x14ac:dyDescent="0.3">
      <c r="A431" t="s">
        <v>955</v>
      </c>
      <c r="B431">
        <v>2013</v>
      </c>
      <c r="C431" t="s">
        <v>69</v>
      </c>
      <c r="D431" t="s">
        <v>956</v>
      </c>
      <c r="E431">
        <v>6</v>
      </c>
      <c r="F431" t="s">
        <v>45</v>
      </c>
      <c r="G431" t="s">
        <v>957</v>
      </c>
      <c r="H431" t="s">
        <v>84</v>
      </c>
      <c r="I431" t="s">
        <v>23</v>
      </c>
      <c r="J431" t="s">
        <v>958</v>
      </c>
      <c r="K431" t="s">
        <v>73</v>
      </c>
      <c r="L431" t="s">
        <v>26</v>
      </c>
      <c r="M431" t="s">
        <v>40</v>
      </c>
      <c r="N431" t="s">
        <v>62</v>
      </c>
      <c r="O431" t="s">
        <v>959</v>
      </c>
      <c r="P431">
        <v>189.59</v>
      </c>
      <c r="Q431">
        <v>2</v>
      </c>
      <c r="R431">
        <v>0.7</v>
      </c>
      <c r="S431">
        <v>-145.35</v>
      </c>
    </row>
    <row r="432" spans="1:19" x14ac:dyDescent="0.3">
      <c r="A432" t="s">
        <v>955</v>
      </c>
      <c r="B432">
        <v>2013</v>
      </c>
      <c r="C432" t="s">
        <v>69</v>
      </c>
      <c r="D432" t="s">
        <v>956</v>
      </c>
      <c r="E432">
        <v>6</v>
      </c>
      <c r="F432" t="s">
        <v>45</v>
      </c>
      <c r="G432" t="s">
        <v>957</v>
      </c>
      <c r="H432" t="s">
        <v>84</v>
      </c>
      <c r="I432" t="s">
        <v>23</v>
      </c>
      <c r="J432" t="s">
        <v>958</v>
      </c>
      <c r="K432" t="s">
        <v>73</v>
      </c>
      <c r="L432" t="s">
        <v>26</v>
      </c>
      <c r="M432" t="s">
        <v>59</v>
      </c>
      <c r="N432" t="s">
        <v>133</v>
      </c>
      <c r="O432" t="s">
        <v>495</v>
      </c>
      <c r="P432">
        <v>408.74</v>
      </c>
      <c r="Q432">
        <v>7</v>
      </c>
      <c r="R432">
        <v>0.2</v>
      </c>
      <c r="S432">
        <v>76.64</v>
      </c>
    </row>
    <row r="433" spans="1:19" x14ac:dyDescent="0.3">
      <c r="A433" t="s">
        <v>955</v>
      </c>
      <c r="B433">
        <v>2013</v>
      </c>
      <c r="C433" t="s">
        <v>69</v>
      </c>
      <c r="D433" t="s">
        <v>956</v>
      </c>
      <c r="E433">
        <v>6</v>
      </c>
      <c r="F433" t="s">
        <v>45</v>
      </c>
      <c r="G433" t="s">
        <v>957</v>
      </c>
      <c r="H433" t="s">
        <v>84</v>
      </c>
      <c r="I433" t="s">
        <v>23</v>
      </c>
      <c r="J433" t="s">
        <v>958</v>
      </c>
      <c r="K433" t="s">
        <v>73</v>
      </c>
      <c r="L433" t="s">
        <v>26</v>
      </c>
      <c r="M433" t="s">
        <v>59</v>
      </c>
      <c r="N433" t="s">
        <v>133</v>
      </c>
      <c r="O433" t="s">
        <v>495</v>
      </c>
      <c r="P433">
        <v>291.95999999999998</v>
      </c>
      <c r="Q433">
        <v>5</v>
      </c>
      <c r="R433">
        <v>0.2</v>
      </c>
      <c r="S433">
        <v>54.74</v>
      </c>
    </row>
    <row r="434" spans="1:19" x14ac:dyDescent="0.3">
      <c r="A434" t="s">
        <v>955</v>
      </c>
      <c r="B434">
        <v>2013</v>
      </c>
      <c r="C434" t="s">
        <v>69</v>
      </c>
      <c r="D434" t="s">
        <v>956</v>
      </c>
      <c r="E434">
        <v>6</v>
      </c>
      <c r="F434" t="s">
        <v>45</v>
      </c>
      <c r="G434" t="s">
        <v>957</v>
      </c>
      <c r="H434" t="s">
        <v>84</v>
      </c>
      <c r="I434" t="s">
        <v>23</v>
      </c>
      <c r="J434" t="s">
        <v>958</v>
      </c>
      <c r="K434" t="s">
        <v>73</v>
      </c>
      <c r="L434" t="s">
        <v>26</v>
      </c>
      <c r="M434" t="s">
        <v>40</v>
      </c>
      <c r="N434" t="s">
        <v>51</v>
      </c>
      <c r="O434" t="s">
        <v>960</v>
      </c>
      <c r="P434">
        <v>4.7699999999999996</v>
      </c>
      <c r="Q434">
        <v>2</v>
      </c>
      <c r="R434">
        <v>0.2</v>
      </c>
      <c r="S434">
        <v>-0.77</v>
      </c>
    </row>
    <row r="435" spans="1:19" x14ac:dyDescent="0.3">
      <c r="A435" s="1">
        <v>41461</v>
      </c>
      <c r="B435">
        <v>2013</v>
      </c>
      <c r="C435" t="s">
        <v>33</v>
      </c>
      <c r="D435" s="1">
        <v>41492</v>
      </c>
      <c r="E435">
        <v>1</v>
      </c>
      <c r="F435" t="s">
        <v>151</v>
      </c>
      <c r="G435" t="s">
        <v>442</v>
      </c>
      <c r="H435" t="s">
        <v>22</v>
      </c>
      <c r="I435" t="s">
        <v>23</v>
      </c>
      <c r="J435" t="s">
        <v>802</v>
      </c>
      <c r="K435" t="s">
        <v>803</v>
      </c>
      <c r="L435" t="s">
        <v>121</v>
      </c>
      <c r="M435" t="s">
        <v>40</v>
      </c>
      <c r="N435" t="s">
        <v>51</v>
      </c>
      <c r="O435" t="s">
        <v>961</v>
      </c>
      <c r="P435">
        <v>714.3</v>
      </c>
      <c r="Q435">
        <v>5</v>
      </c>
      <c r="R435">
        <v>0</v>
      </c>
      <c r="S435">
        <v>207.15</v>
      </c>
    </row>
    <row r="436" spans="1:19" x14ac:dyDescent="0.3">
      <c r="A436" t="s">
        <v>962</v>
      </c>
      <c r="B436">
        <v>2011</v>
      </c>
      <c r="C436" t="s">
        <v>76</v>
      </c>
      <c r="D436" t="s">
        <v>963</v>
      </c>
      <c r="E436">
        <v>6</v>
      </c>
      <c r="F436" t="s">
        <v>45</v>
      </c>
      <c r="G436" t="s">
        <v>964</v>
      </c>
      <c r="H436" t="s">
        <v>22</v>
      </c>
      <c r="I436" t="s">
        <v>23</v>
      </c>
      <c r="J436" t="s">
        <v>965</v>
      </c>
      <c r="K436" t="s">
        <v>48</v>
      </c>
      <c r="L436" t="s">
        <v>26</v>
      </c>
      <c r="M436" t="s">
        <v>40</v>
      </c>
      <c r="N436" t="s">
        <v>62</v>
      </c>
      <c r="O436" t="s">
        <v>966</v>
      </c>
      <c r="P436">
        <v>4.8099999999999996</v>
      </c>
      <c r="Q436">
        <v>2</v>
      </c>
      <c r="R436">
        <v>0.7</v>
      </c>
      <c r="S436">
        <v>-3.69</v>
      </c>
    </row>
    <row r="437" spans="1:19" x14ac:dyDescent="0.3">
      <c r="A437" t="s">
        <v>962</v>
      </c>
      <c r="B437">
        <v>2011</v>
      </c>
      <c r="C437" t="s">
        <v>76</v>
      </c>
      <c r="D437" t="s">
        <v>963</v>
      </c>
      <c r="E437">
        <v>6</v>
      </c>
      <c r="F437" t="s">
        <v>45</v>
      </c>
      <c r="G437" t="s">
        <v>964</v>
      </c>
      <c r="H437" t="s">
        <v>22</v>
      </c>
      <c r="I437" t="s">
        <v>23</v>
      </c>
      <c r="J437" t="s">
        <v>965</v>
      </c>
      <c r="K437" t="s">
        <v>48</v>
      </c>
      <c r="L437" t="s">
        <v>26</v>
      </c>
      <c r="M437" t="s">
        <v>59</v>
      </c>
      <c r="N437" t="s">
        <v>133</v>
      </c>
      <c r="O437" t="s">
        <v>967</v>
      </c>
      <c r="P437">
        <v>247.8</v>
      </c>
      <c r="Q437">
        <v>5</v>
      </c>
      <c r="R437">
        <v>0.2</v>
      </c>
      <c r="S437">
        <v>-18.59</v>
      </c>
    </row>
    <row r="438" spans="1:19" x14ac:dyDescent="0.3">
      <c r="A438" t="s">
        <v>32</v>
      </c>
      <c r="B438">
        <v>2013</v>
      </c>
      <c r="C438" t="s">
        <v>33</v>
      </c>
      <c r="D438" t="s">
        <v>968</v>
      </c>
      <c r="E438">
        <v>2</v>
      </c>
      <c r="F438" t="s">
        <v>20</v>
      </c>
      <c r="G438" t="s">
        <v>969</v>
      </c>
      <c r="H438" t="s">
        <v>84</v>
      </c>
      <c r="I438" t="s">
        <v>23</v>
      </c>
      <c r="J438" t="s">
        <v>232</v>
      </c>
      <c r="K438" t="s">
        <v>166</v>
      </c>
      <c r="L438" t="s">
        <v>87</v>
      </c>
      <c r="M438" t="s">
        <v>59</v>
      </c>
      <c r="N438" t="s">
        <v>465</v>
      </c>
      <c r="O438" t="s">
        <v>970</v>
      </c>
      <c r="P438">
        <v>1007.98</v>
      </c>
      <c r="Q438">
        <v>3</v>
      </c>
      <c r="R438">
        <v>0.3</v>
      </c>
      <c r="S438">
        <v>43.2</v>
      </c>
    </row>
    <row r="439" spans="1:19" x14ac:dyDescent="0.3">
      <c r="A439" t="s">
        <v>32</v>
      </c>
      <c r="B439">
        <v>2013</v>
      </c>
      <c r="C439" t="s">
        <v>33</v>
      </c>
      <c r="D439" t="s">
        <v>968</v>
      </c>
      <c r="E439">
        <v>2</v>
      </c>
      <c r="F439" t="s">
        <v>20</v>
      </c>
      <c r="G439" t="s">
        <v>969</v>
      </c>
      <c r="H439" t="s">
        <v>84</v>
      </c>
      <c r="I439" t="s">
        <v>23</v>
      </c>
      <c r="J439" t="s">
        <v>232</v>
      </c>
      <c r="K439" t="s">
        <v>166</v>
      </c>
      <c r="L439" t="s">
        <v>87</v>
      </c>
      <c r="M439" t="s">
        <v>40</v>
      </c>
      <c r="N439" t="s">
        <v>74</v>
      </c>
      <c r="O439" t="s">
        <v>916</v>
      </c>
      <c r="P439">
        <v>313.49</v>
      </c>
      <c r="Q439">
        <v>7</v>
      </c>
      <c r="R439">
        <v>0.2</v>
      </c>
      <c r="S439">
        <v>113.64</v>
      </c>
    </row>
    <row r="440" spans="1:19" x14ac:dyDescent="0.3">
      <c r="A440" t="s">
        <v>163</v>
      </c>
      <c r="B440">
        <v>2014</v>
      </c>
      <c r="C440" t="s">
        <v>124</v>
      </c>
      <c r="D440" t="s">
        <v>172</v>
      </c>
      <c r="E440">
        <v>4</v>
      </c>
      <c r="F440" t="s">
        <v>45</v>
      </c>
      <c r="G440" t="s">
        <v>971</v>
      </c>
      <c r="H440" t="s">
        <v>36</v>
      </c>
      <c r="I440" t="s">
        <v>23</v>
      </c>
      <c r="J440" t="s">
        <v>149</v>
      </c>
      <c r="K440" t="s">
        <v>86</v>
      </c>
      <c r="L440" t="s">
        <v>87</v>
      </c>
      <c r="M440" t="s">
        <v>40</v>
      </c>
      <c r="N440" t="s">
        <v>74</v>
      </c>
      <c r="O440" t="s">
        <v>972</v>
      </c>
      <c r="P440">
        <v>31.87</v>
      </c>
      <c r="Q440">
        <v>8</v>
      </c>
      <c r="R440">
        <v>0.2</v>
      </c>
      <c r="S440">
        <v>11.55</v>
      </c>
    </row>
    <row r="441" spans="1:19" x14ac:dyDescent="0.3">
      <c r="A441" t="s">
        <v>973</v>
      </c>
      <c r="B441">
        <v>2014</v>
      </c>
      <c r="C441" t="s">
        <v>129</v>
      </c>
      <c r="D441" t="s">
        <v>974</v>
      </c>
      <c r="E441">
        <v>3</v>
      </c>
      <c r="F441" t="s">
        <v>20</v>
      </c>
      <c r="G441" t="s">
        <v>347</v>
      </c>
      <c r="H441" t="s">
        <v>36</v>
      </c>
      <c r="I441" t="s">
        <v>23</v>
      </c>
      <c r="J441" t="s">
        <v>208</v>
      </c>
      <c r="K441" t="s">
        <v>209</v>
      </c>
      <c r="L441" t="s">
        <v>121</v>
      </c>
      <c r="M441" t="s">
        <v>27</v>
      </c>
      <c r="N441" t="s">
        <v>30</v>
      </c>
      <c r="O441" t="s">
        <v>975</v>
      </c>
      <c r="P441">
        <v>207.85</v>
      </c>
      <c r="Q441">
        <v>3</v>
      </c>
      <c r="R441">
        <v>0.1</v>
      </c>
      <c r="S441">
        <v>2.31</v>
      </c>
    </row>
    <row r="442" spans="1:19" x14ac:dyDescent="0.3">
      <c r="A442" s="1">
        <v>41434</v>
      </c>
      <c r="B442">
        <v>2013</v>
      </c>
      <c r="C442" t="s">
        <v>124</v>
      </c>
      <c r="D442" s="1">
        <v>41495</v>
      </c>
      <c r="E442">
        <v>2</v>
      </c>
      <c r="F442" t="s">
        <v>20</v>
      </c>
      <c r="G442" t="s">
        <v>91</v>
      </c>
      <c r="H442" t="s">
        <v>22</v>
      </c>
      <c r="I442" t="s">
        <v>23</v>
      </c>
      <c r="J442" t="s">
        <v>588</v>
      </c>
      <c r="K442" t="s">
        <v>188</v>
      </c>
      <c r="L442" t="s">
        <v>87</v>
      </c>
      <c r="M442" t="s">
        <v>27</v>
      </c>
      <c r="N442" t="s">
        <v>55</v>
      </c>
      <c r="O442" t="s">
        <v>976</v>
      </c>
      <c r="P442">
        <v>12.22</v>
      </c>
      <c r="Q442">
        <v>1</v>
      </c>
      <c r="R442">
        <v>0</v>
      </c>
      <c r="S442">
        <v>3.67</v>
      </c>
    </row>
    <row r="443" spans="1:19" x14ac:dyDescent="0.3">
      <c r="A443" s="1">
        <v>41434</v>
      </c>
      <c r="B443">
        <v>2013</v>
      </c>
      <c r="C443" t="s">
        <v>124</v>
      </c>
      <c r="D443" s="1">
        <v>41495</v>
      </c>
      <c r="E443">
        <v>2</v>
      </c>
      <c r="F443" t="s">
        <v>20</v>
      </c>
      <c r="G443" t="s">
        <v>91</v>
      </c>
      <c r="H443" t="s">
        <v>22</v>
      </c>
      <c r="I443" t="s">
        <v>23</v>
      </c>
      <c r="J443" t="s">
        <v>588</v>
      </c>
      <c r="K443" t="s">
        <v>188</v>
      </c>
      <c r="L443" t="s">
        <v>87</v>
      </c>
      <c r="M443" t="s">
        <v>40</v>
      </c>
      <c r="N443" t="s">
        <v>51</v>
      </c>
      <c r="O443" t="s">
        <v>977</v>
      </c>
      <c r="P443">
        <v>194.94</v>
      </c>
      <c r="Q443">
        <v>3</v>
      </c>
      <c r="R443">
        <v>0</v>
      </c>
      <c r="S443">
        <v>23.39</v>
      </c>
    </row>
    <row r="444" spans="1:19" x14ac:dyDescent="0.3">
      <c r="A444" s="1">
        <v>41434</v>
      </c>
      <c r="B444">
        <v>2013</v>
      </c>
      <c r="C444" t="s">
        <v>124</v>
      </c>
      <c r="D444" s="1">
        <v>41495</v>
      </c>
      <c r="E444">
        <v>2</v>
      </c>
      <c r="F444" t="s">
        <v>20</v>
      </c>
      <c r="G444" t="s">
        <v>91</v>
      </c>
      <c r="H444" t="s">
        <v>22</v>
      </c>
      <c r="I444" t="s">
        <v>23</v>
      </c>
      <c r="J444" t="s">
        <v>588</v>
      </c>
      <c r="K444" t="s">
        <v>188</v>
      </c>
      <c r="L444" t="s">
        <v>87</v>
      </c>
      <c r="M444" t="s">
        <v>40</v>
      </c>
      <c r="N444" t="s">
        <v>51</v>
      </c>
      <c r="O444" t="s">
        <v>978</v>
      </c>
      <c r="P444">
        <v>70.95</v>
      </c>
      <c r="Q444">
        <v>3</v>
      </c>
      <c r="R444">
        <v>0</v>
      </c>
      <c r="S444">
        <v>20.58</v>
      </c>
    </row>
    <row r="445" spans="1:19" x14ac:dyDescent="0.3">
      <c r="A445" s="1">
        <v>41434</v>
      </c>
      <c r="B445">
        <v>2013</v>
      </c>
      <c r="C445" t="s">
        <v>124</v>
      </c>
      <c r="D445" s="1">
        <v>41495</v>
      </c>
      <c r="E445">
        <v>2</v>
      </c>
      <c r="F445" t="s">
        <v>20</v>
      </c>
      <c r="G445" t="s">
        <v>91</v>
      </c>
      <c r="H445" t="s">
        <v>22</v>
      </c>
      <c r="I445" t="s">
        <v>23</v>
      </c>
      <c r="J445" t="s">
        <v>588</v>
      </c>
      <c r="K445" t="s">
        <v>188</v>
      </c>
      <c r="L445" t="s">
        <v>87</v>
      </c>
      <c r="M445" t="s">
        <v>40</v>
      </c>
      <c r="N445" t="s">
        <v>74</v>
      </c>
      <c r="O445" t="s">
        <v>979</v>
      </c>
      <c r="P445">
        <v>91.36</v>
      </c>
      <c r="Q445">
        <v>4</v>
      </c>
      <c r="R445">
        <v>0</v>
      </c>
      <c r="S445">
        <v>42.03</v>
      </c>
    </row>
    <row r="446" spans="1:19" x14ac:dyDescent="0.3">
      <c r="A446" s="1">
        <v>41434</v>
      </c>
      <c r="B446">
        <v>2013</v>
      </c>
      <c r="C446" t="s">
        <v>124</v>
      </c>
      <c r="D446" s="1">
        <v>41495</v>
      </c>
      <c r="E446">
        <v>2</v>
      </c>
      <c r="F446" t="s">
        <v>20</v>
      </c>
      <c r="G446" t="s">
        <v>91</v>
      </c>
      <c r="H446" t="s">
        <v>22</v>
      </c>
      <c r="I446" t="s">
        <v>23</v>
      </c>
      <c r="J446" t="s">
        <v>588</v>
      </c>
      <c r="K446" t="s">
        <v>188</v>
      </c>
      <c r="L446" t="s">
        <v>87</v>
      </c>
      <c r="M446" t="s">
        <v>27</v>
      </c>
      <c r="N446" t="s">
        <v>30</v>
      </c>
      <c r="O446" t="s">
        <v>980</v>
      </c>
      <c r="P446">
        <v>242.94</v>
      </c>
      <c r="Q446">
        <v>3</v>
      </c>
      <c r="R446">
        <v>0</v>
      </c>
      <c r="S446">
        <v>29.15</v>
      </c>
    </row>
    <row r="447" spans="1:19" x14ac:dyDescent="0.3">
      <c r="A447" s="1">
        <v>41434</v>
      </c>
      <c r="B447">
        <v>2013</v>
      </c>
      <c r="C447" t="s">
        <v>124</v>
      </c>
      <c r="D447" s="1">
        <v>41495</v>
      </c>
      <c r="E447">
        <v>2</v>
      </c>
      <c r="F447" t="s">
        <v>20</v>
      </c>
      <c r="G447" t="s">
        <v>91</v>
      </c>
      <c r="H447" t="s">
        <v>22</v>
      </c>
      <c r="I447" t="s">
        <v>23</v>
      </c>
      <c r="J447" t="s">
        <v>588</v>
      </c>
      <c r="K447" t="s">
        <v>188</v>
      </c>
      <c r="L447" t="s">
        <v>87</v>
      </c>
      <c r="M447" t="s">
        <v>40</v>
      </c>
      <c r="N447" t="s">
        <v>41</v>
      </c>
      <c r="O447" t="s">
        <v>981</v>
      </c>
      <c r="P447">
        <v>22.05</v>
      </c>
      <c r="Q447">
        <v>7</v>
      </c>
      <c r="R447">
        <v>0</v>
      </c>
      <c r="S447">
        <v>10.58</v>
      </c>
    </row>
    <row r="448" spans="1:19" x14ac:dyDescent="0.3">
      <c r="A448" t="s">
        <v>982</v>
      </c>
      <c r="B448">
        <v>2014</v>
      </c>
      <c r="C448" t="s">
        <v>177</v>
      </c>
      <c r="D448" t="s">
        <v>983</v>
      </c>
      <c r="E448">
        <v>5</v>
      </c>
      <c r="F448" t="s">
        <v>20</v>
      </c>
      <c r="G448" t="s">
        <v>984</v>
      </c>
      <c r="H448" t="s">
        <v>22</v>
      </c>
      <c r="I448" t="s">
        <v>23</v>
      </c>
      <c r="J448" t="s">
        <v>356</v>
      </c>
      <c r="K448" t="s">
        <v>201</v>
      </c>
      <c r="L448" t="s">
        <v>87</v>
      </c>
      <c r="M448" t="s">
        <v>27</v>
      </c>
      <c r="N448" t="s">
        <v>55</v>
      </c>
      <c r="O448" t="s">
        <v>985</v>
      </c>
      <c r="P448">
        <v>2.91</v>
      </c>
      <c r="Q448">
        <v>1</v>
      </c>
      <c r="R448">
        <v>0</v>
      </c>
      <c r="S448">
        <v>1.37</v>
      </c>
    </row>
    <row r="449" spans="1:19" x14ac:dyDescent="0.3">
      <c r="A449" s="1">
        <v>41309</v>
      </c>
      <c r="B449">
        <v>2013</v>
      </c>
      <c r="C449" t="s">
        <v>69</v>
      </c>
      <c r="D449" s="1">
        <v>41368</v>
      </c>
      <c r="E449">
        <v>2</v>
      </c>
      <c r="F449" t="s">
        <v>20</v>
      </c>
      <c r="G449" t="s">
        <v>986</v>
      </c>
      <c r="H449" t="s">
        <v>22</v>
      </c>
      <c r="I449" t="s">
        <v>23</v>
      </c>
      <c r="J449" t="s">
        <v>987</v>
      </c>
      <c r="K449" t="s">
        <v>209</v>
      </c>
      <c r="L449" t="s">
        <v>121</v>
      </c>
      <c r="M449" t="s">
        <v>40</v>
      </c>
      <c r="N449" t="s">
        <v>57</v>
      </c>
      <c r="O449" t="s">
        <v>988</v>
      </c>
      <c r="P449">
        <v>59.52</v>
      </c>
      <c r="Q449">
        <v>3</v>
      </c>
      <c r="R449">
        <v>0</v>
      </c>
      <c r="S449">
        <v>15.48</v>
      </c>
    </row>
    <row r="450" spans="1:19" x14ac:dyDescent="0.3">
      <c r="A450" s="1">
        <v>41309</v>
      </c>
      <c r="B450">
        <v>2013</v>
      </c>
      <c r="C450" t="s">
        <v>69</v>
      </c>
      <c r="D450" s="1">
        <v>41368</v>
      </c>
      <c r="E450">
        <v>2</v>
      </c>
      <c r="F450" t="s">
        <v>20</v>
      </c>
      <c r="G450" t="s">
        <v>986</v>
      </c>
      <c r="H450" t="s">
        <v>22</v>
      </c>
      <c r="I450" t="s">
        <v>23</v>
      </c>
      <c r="J450" t="s">
        <v>987</v>
      </c>
      <c r="K450" t="s">
        <v>209</v>
      </c>
      <c r="L450" t="s">
        <v>121</v>
      </c>
      <c r="M450" t="s">
        <v>40</v>
      </c>
      <c r="N450" t="s">
        <v>51</v>
      </c>
      <c r="O450" t="s">
        <v>989</v>
      </c>
      <c r="P450">
        <v>161.94</v>
      </c>
      <c r="Q450">
        <v>3</v>
      </c>
      <c r="R450">
        <v>0</v>
      </c>
      <c r="S450">
        <v>9.7200000000000006</v>
      </c>
    </row>
    <row r="451" spans="1:19" x14ac:dyDescent="0.3">
      <c r="A451" s="1">
        <v>41309</v>
      </c>
      <c r="B451">
        <v>2013</v>
      </c>
      <c r="C451" t="s">
        <v>69</v>
      </c>
      <c r="D451" s="1">
        <v>41368</v>
      </c>
      <c r="E451">
        <v>2</v>
      </c>
      <c r="F451" t="s">
        <v>20</v>
      </c>
      <c r="G451" t="s">
        <v>986</v>
      </c>
      <c r="H451" t="s">
        <v>22</v>
      </c>
      <c r="I451" t="s">
        <v>23</v>
      </c>
      <c r="J451" t="s">
        <v>987</v>
      </c>
      <c r="K451" t="s">
        <v>209</v>
      </c>
      <c r="L451" t="s">
        <v>121</v>
      </c>
      <c r="M451" t="s">
        <v>40</v>
      </c>
      <c r="N451" t="s">
        <v>57</v>
      </c>
      <c r="O451" t="s">
        <v>990</v>
      </c>
      <c r="P451">
        <v>263.88</v>
      </c>
      <c r="Q451">
        <v>6</v>
      </c>
      <c r="R451">
        <v>0</v>
      </c>
      <c r="S451">
        <v>71.25</v>
      </c>
    </row>
    <row r="452" spans="1:19" x14ac:dyDescent="0.3">
      <c r="A452" s="1">
        <v>41309</v>
      </c>
      <c r="B452">
        <v>2013</v>
      </c>
      <c r="C452" t="s">
        <v>69</v>
      </c>
      <c r="D452" s="1">
        <v>41368</v>
      </c>
      <c r="E452">
        <v>2</v>
      </c>
      <c r="F452" t="s">
        <v>20</v>
      </c>
      <c r="G452" t="s">
        <v>986</v>
      </c>
      <c r="H452" t="s">
        <v>22</v>
      </c>
      <c r="I452" t="s">
        <v>23</v>
      </c>
      <c r="J452" t="s">
        <v>987</v>
      </c>
      <c r="K452" t="s">
        <v>209</v>
      </c>
      <c r="L452" t="s">
        <v>121</v>
      </c>
      <c r="M452" t="s">
        <v>40</v>
      </c>
      <c r="N452" t="s">
        <v>57</v>
      </c>
      <c r="O452" t="s">
        <v>991</v>
      </c>
      <c r="P452">
        <v>30.48</v>
      </c>
      <c r="Q452">
        <v>3</v>
      </c>
      <c r="R452">
        <v>0</v>
      </c>
      <c r="S452">
        <v>7.92</v>
      </c>
    </row>
    <row r="453" spans="1:19" x14ac:dyDescent="0.3">
      <c r="A453" s="1">
        <v>41309</v>
      </c>
      <c r="B453">
        <v>2013</v>
      </c>
      <c r="C453" t="s">
        <v>69</v>
      </c>
      <c r="D453" s="1">
        <v>41368</v>
      </c>
      <c r="E453">
        <v>2</v>
      </c>
      <c r="F453" t="s">
        <v>20</v>
      </c>
      <c r="G453" t="s">
        <v>986</v>
      </c>
      <c r="H453" t="s">
        <v>22</v>
      </c>
      <c r="I453" t="s">
        <v>23</v>
      </c>
      <c r="J453" t="s">
        <v>987</v>
      </c>
      <c r="K453" t="s">
        <v>209</v>
      </c>
      <c r="L453" t="s">
        <v>121</v>
      </c>
      <c r="M453" t="s">
        <v>40</v>
      </c>
      <c r="N453" t="s">
        <v>57</v>
      </c>
      <c r="O453" t="s">
        <v>992</v>
      </c>
      <c r="P453">
        <v>9.84</v>
      </c>
      <c r="Q453">
        <v>3</v>
      </c>
      <c r="R453">
        <v>0</v>
      </c>
      <c r="S453">
        <v>2.85</v>
      </c>
    </row>
    <row r="454" spans="1:19" x14ac:dyDescent="0.3">
      <c r="A454" s="1">
        <v>41309</v>
      </c>
      <c r="B454">
        <v>2013</v>
      </c>
      <c r="C454" t="s">
        <v>69</v>
      </c>
      <c r="D454" s="1">
        <v>41368</v>
      </c>
      <c r="E454">
        <v>2</v>
      </c>
      <c r="F454" t="s">
        <v>20</v>
      </c>
      <c r="G454" t="s">
        <v>986</v>
      </c>
      <c r="H454" t="s">
        <v>22</v>
      </c>
      <c r="I454" t="s">
        <v>23</v>
      </c>
      <c r="J454" t="s">
        <v>987</v>
      </c>
      <c r="K454" t="s">
        <v>209</v>
      </c>
      <c r="L454" t="s">
        <v>121</v>
      </c>
      <c r="M454" t="s">
        <v>59</v>
      </c>
      <c r="N454" t="s">
        <v>60</v>
      </c>
      <c r="O454" t="s">
        <v>993</v>
      </c>
      <c r="P454">
        <v>35.119999999999997</v>
      </c>
      <c r="Q454">
        <v>4</v>
      </c>
      <c r="R454">
        <v>0</v>
      </c>
      <c r="S454">
        <v>9.1300000000000008</v>
      </c>
    </row>
    <row r="455" spans="1:19" x14ac:dyDescent="0.3">
      <c r="A455" t="s">
        <v>994</v>
      </c>
      <c r="B455">
        <v>2014</v>
      </c>
      <c r="C455" t="s">
        <v>43</v>
      </c>
      <c r="D455" t="s">
        <v>995</v>
      </c>
      <c r="E455">
        <v>4</v>
      </c>
      <c r="F455" t="s">
        <v>45</v>
      </c>
      <c r="G455" t="s">
        <v>996</v>
      </c>
      <c r="H455" t="s">
        <v>36</v>
      </c>
      <c r="I455" t="s">
        <v>23</v>
      </c>
      <c r="J455" t="s">
        <v>543</v>
      </c>
      <c r="K455" t="s">
        <v>357</v>
      </c>
      <c r="L455" t="s">
        <v>121</v>
      </c>
      <c r="M455" t="s">
        <v>27</v>
      </c>
      <c r="N455" t="s">
        <v>49</v>
      </c>
      <c r="O455" t="s">
        <v>66</v>
      </c>
      <c r="P455">
        <v>284.36</v>
      </c>
      <c r="Q455">
        <v>2</v>
      </c>
      <c r="R455">
        <v>0.4</v>
      </c>
      <c r="S455">
        <v>-75.83</v>
      </c>
    </row>
    <row r="456" spans="1:19" x14ac:dyDescent="0.3">
      <c r="A456" t="s">
        <v>994</v>
      </c>
      <c r="B456">
        <v>2014</v>
      </c>
      <c r="C456" t="s">
        <v>43</v>
      </c>
      <c r="D456" t="s">
        <v>995</v>
      </c>
      <c r="E456">
        <v>4</v>
      </c>
      <c r="F456" t="s">
        <v>45</v>
      </c>
      <c r="G456" t="s">
        <v>996</v>
      </c>
      <c r="H456" t="s">
        <v>36</v>
      </c>
      <c r="I456" t="s">
        <v>23</v>
      </c>
      <c r="J456" t="s">
        <v>543</v>
      </c>
      <c r="K456" t="s">
        <v>357</v>
      </c>
      <c r="L456" t="s">
        <v>121</v>
      </c>
      <c r="M456" t="s">
        <v>40</v>
      </c>
      <c r="N456" t="s">
        <v>51</v>
      </c>
      <c r="O456" t="s">
        <v>997</v>
      </c>
      <c r="P456">
        <v>665.41</v>
      </c>
      <c r="Q456">
        <v>2</v>
      </c>
      <c r="R456">
        <v>0.2</v>
      </c>
      <c r="S456">
        <v>66.540000000000006</v>
      </c>
    </row>
    <row r="457" spans="1:19" x14ac:dyDescent="0.3">
      <c r="A457" t="s">
        <v>109</v>
      </c>
      <c r="B457">
        <v>2013</v>
      </c>
      <c r="C457" t="s">
        <v>76</v>
      </c>
      <c r="D457" t="s">
        <v>206</v>
      </c>
      <c r="E457">
        <v>4</v>
      </c>
      <c r="F457" t="s">
        <v>45</v>
      </c>
      <c r="G457" t="s">
        <v>953</v>
      </c>
      <c r="H457" t="s">
        <v>36</v>
      </c>
      <c r="I457" t="s">
        <v>23</v>
      </c>
      <c r="J457" t="s">
        <v>998</v>
      </c>
      <c r="K457" t="s">
        <v>447</v>
      </c>
      <c r="L457" t="s">
        <v>87</v>
      </c>
      <c r="M457" t="s">
        <v>59</v>
      </c>
      <c r="N457" t="s">
        <v>133</v>
      </c>
      <c r="O457" t="s">
        <v>999</v>
      </c>
      <c r="P457">
        <v>63.88</v>
      </c>
      <c r="Q457">
        <v>4</v>
      </c>
      <c r="R457">
        <v>0</v>
      </c>
      <c r="S457">
        <v>24.91</v>
      </c>
    </row>
    <row r="458" spans="1:19" x14ac:dyDescent="0.3">
      <c r="A458" t="s">
        <v>1000</v>
      </c>
      <c r="B458">
        <v>2011</v>
      </c>
      <c r="C458" t="s">
        <v>389</v>
      </c>
      <c r="D458" t="s">
        <v>1001</v>
      </c>
      <c r="E458">
        <v>6</v>
      </c>
      <c r="F458" t="s">
        <v>45</v>
      </c>
      <c r="G458" t="s">
        <v>1002</v>
      </c>
      <c r="H458" t="s">
        <v>22</v>
      </c>
      <c r="I458" t="s">
        <v>23</v>
      </c>
      <c r="J458" t="s">
        <v>72</v>
      </c>
      <c r="K458" t="s">
        <v>38</v>
      </c>
      <c r="L458" t="s">
        <v>39</v>
      </c>
      <c r="M458" t="s">
        <v>27</v>
      </c>
      <c r="N458" t="s">
        <v>30</v>
      </c>
      <c r="O458" t="s">
        <v>1003</v>
      </c>
      <c r="P458">
        <v>129.57</v>
      </c>
      <c r="Q458">
        <v>2</v>
      </c>
      <c r="R458">
        <v>0.2</v>
      </c>
      <c r="S458">
        <v>-24.29</v>
      </c>
    </row>
    <row r="459" spans="1:19" x14ac:dyDescent="0.3">
      <c r="A459" t="s">
        <v>1004</v>
      </c>
      <c r="B459">
        <v>2013</v>
      </c>
      <c r="C459" t="s">
        <v>124</v>
      </c>
      <c r="D459" s="1">
        <v>41315</v>
      </c>
      <c r="E459">
        <v>5</v>
      </c>
      <c r="F459" t="s">
        <v>45</v>
      </c>
      <c r="G459" t="s">
        <v>943</v>
      </c>
      <c r="H459" t="s">
        <v>22</v>
      </c>
      <c r="I459" t="s">
        <v>23</v>
      </c>
      <c r="J459" t="s">
        <v>266</v>
      </c>
      <c r="K459" t="s">
        <v>166</v>
      </c>
      <c r="L459" t="s">
        <v>87</v>
      </c>
      <c r="M459" t="s">
        <v>27</v>
      </c>
      <c r="N459" t="s">
        <v>30</v>
      </c>
      <c r="O459" t="s">
        <v>1005</v>
      </c>
      <c r="P459">
        <v>747.56</v>
      </c>
      <c r="Q459">
        <v>3</v>
      </c>
      <c r="R459">
        <v>0.3</v>
      </c>
      <c r="S459">
        <v>-96.11</v>
      </c>
    </row>
    <row r="460" spans="1:19" x14ac:dyDescent="0.3">
      <c r="A460" t="s">
        <v>1004</v>
      </c>
      <c r="B460">
        <v>2013</v>
      </c>
      <c r="C460" t="s">
        <v>124</v>
      </c>
      <c r="D460" s="1">
        <v>41315</v>
      </c>
      <c r="E460">
        <v>5</v>
      </c>
      <c r="F460" t="s">
        <v>45</v>
      </c>
      <c r="G460" t="s">
        <v>943</v>
      </c>
      <c r="H460" t="s">
        <v>22</v>
      </c>
      <c r="I460" t="s">
        <v>23</v>
      </c>
      <c r="J460" t="s">
        <v>266</v>
      </c>
      <c r="K460" t="s">
        <v>166</v>
      </c>
      <c r="L460" t="s">
        <v>87</v>
      </c>
      <c r="M460" t="s">
        <v>40</v>
      </c>
      <c r="N460" t="s">
        <v>141</v>
      </c>
      <c r="O460" t="s">
        <v>150</v>
      </c>
      <c r="P460">
        <v>8.93</v>
      </c>
      <c r="Q460">
        <v>2</v>
      </c>
      <c r="R460">
        <v>0.2</v>
      </c>
      <c r="S460">
        <v>3.35</v>
      </c>
    </row>
    <row r="461" spans="1:19" x14ac:dyDescent="0.3">
      <c r="A461" t="s">
        <v>489</v>
      </c>
      <c r="B461">
        <v>2012</v>
      </c>
      <c r="C461" t="s">
        <v>76</v>
      </c>
      <c r="D461" t="s">
        <v>1006</v>
      </c>
      <c r="E461">
        <v>7</v>
      </c>
      <c r="F461" t="s">
        <v>45</v>
      </c>
      <c r="G461" t="s">
        <v>560</v>
      </c>
      <c r="H461" t="s">
        <v>22</v>
      </c>
      <c r="I461" t="s">
        <v>23</v>
      </c>
      <c r="J461" t="s">
        <v>78</v>
      </c>
      <c r="K461" t="s">
        <v>79</v>
      </c>
      <c r="L461" t="s">
        <v>39</v>
      </c>
      <c r="M461" t="s">
        <v>40</v>
      </c>
      <c r="N461" t="s">
        <v>64</v>
      </c>
      <c r="O461" t="s">
        <v>1007</v>
      </c>
      <c r="P461">
        <v>103.92</v>
      </c>
      <c r="Q461">
        <v>4</v>
      </c>
      <c r="R461">
        <v>0</v>
      </c>
      <c r="S461">
        <v>36.369999999999997</v>
      </c>
    </row>
    <row r="462" spans="1:19" x14ac:dyDescent="0.3">
      <c r="A462" t="s">
        <v>489</v>
      </c>
      <c r="B462">
        <v>2012</v>
      </c>
      <c r="C462" t="s">
        <v>76</v>
      </c>
      <c r="D462" t="s">
        <v>1006</v>
      </c>
      <c r="E462">
        <v>7</v>
      </c>
      <c r="F462" t="s">
        <v>45</v>
      </c>
      <c r="G462" t="s">
        <v>560</v>
      </c>
      <c r="H462" t="s">
        <v>22</v>
      </c>
      <c r="I462" t="s">
        <v>23</v>
      </c>
      <c r="J462" t="s">
        <v>78</v>
      </c>
      <c r="K462" t="s">
        <v>79</v>
      </c>
      <c r="L462" t="s">
        <v>39</v>
      </c>
      <c r="M462" t="s">
        <v>59</v>
      </c>
      <c r="N462" t="s">
        <v>133</v>
      </c>
      <c r="O462" t="s">
        <v>1008</v>
      </c>
      <c r="P462">
        <v>899.91</v>
      </c>
      <c r="Q462">
        <v>9</v>
      </c>
      <c r="R462">
        <v>0</v>
      </c>
      <c r="S462">
        <v>377.96</v>
      </c>
    </row>
    <row r="463" spans="1:19" x14ac:dyDescent="0.3">
      <c r="A463" t="s">
        <v>489</v>
      </c>
      <c r="B463">
        <v>2012</v>
      </c>
      <c r="C463" t="s">
        <v>76</v>
      </c>
      <c r="D463" t="s">
        <v>1006</v>
      </c>
      <c r="E463">
        <v>7</v>
      </c>
      <c r="F463" t="s">
        <v>45</v>
      </c>
      <c r="G463" t="s">
        <v>560</v>
      </c>
      <c r="H463" t="s">
        <v>22</v>
      </c>
      <c r="I463" t="s">
        <v>23</v>
      </c>
      <c r="J463" t="s">
        <v>78</v>
      </c>
      <c r="K463" t="s">
        <v>79</v>
      </c>
      <c r="L463" t="s">
        <v>39</v>
      </c>
      <c r="M463" t="s">
        <v>40</v>
      </c>
      <c r="N463" t="s">
        <v>62</v>
      </c>
      <c r="O463" t="s">
        <v>1009</v>
      </c>
      <c r="P463">
        <v>51.31</v>
      </c>
      <c r="Q463">
        <v>3</v>
      </c>
      <c r="R463">
        <v>0.2</v>
      </c>
      <c r="S463">
        <v>18.600000000000001</v>
      </c>
    </row>
    <row r="464" spans="1:19" x14ac:dyDescent="0.3">
      <c r="A464" t="s">
        <v>1010</v>
      </c>
      <c r="B464">
        <v>2013</v>
      </c>
      <c r="C464" t="s">
        <v>69</v>
      </c>
      <c r="D464" t="s">
        <v>773</v>
      </c>
      <c r="E464">
        <v>7</v>
      </c>
      <c r="F464" t="s">
        <v>45</v>
      </c>
      <c r="G464" t="s">
        <v>1011</v>
      </c>
      <c r="H464" t="s">
        <v>84</v>
      </c>
      <c r="I464" t="s">
        <v>23</v>
      </c>
      <c r="J464" t="s">
        <v>383</v>
      </c>
      <c r="K464" t="s">
        <v>236</v>
      </c>
      <c r="L464" t="s">
        <v>39</v>
      </c>
      <c r="M464" t="s">
        <v>27</v>
      </c>
      <c r="N464" t="s">
        <v>55</v>
      </c>
      <c r="O464" t="s">
        <v>824</v>
      </c>
      <c r="P464">
        <v>23.56</v>
      </c>
      <c r="Q464">
        <v>5</v>
      </c>
      <c r="R464">
        <v>0.2</v>
      </c>
      <c r="S464">
        <v>7.07</v>
      </c>
    </row>
    <row r="465" spans="1:19" x14ac:dyDescent="0.3">
      <c r="A465" t="s">
        <v>1010</v>
      </c>
      <c r="B465">
        <v>2013</v>
      </c>
      <c r="C465" t="s">
        <v>69</v>
      </c>
      <c r="D465" t="s">
        <v>773</v>
      </c>
      <c r="E465">
        <v>7</v>
      </c>
      <c r="F465" t="s">
        <v>45</v>
      </c>
      <c r="G465" t="s">
        <v>1011</v>
      </c>
      <c r="H465" t="s">
        <v>84</v>
      </c>
      <c r="I465" t="s">
        <v>23</v>
      </c>
      <c r="J465" t="s">
        <v>383</v>
      </c>
      <c r="K465" t="s">
        <v>236</v>
      </c>
      <c r="L465" t="s">
        <v>39</v>
      </c>
      <c r="M465" t="s">
        <v>27</v>
      </c>
      <c r="N465" t="s">
        <v>49</v>
      </c>
      <c r="O465" t="s">
        <v>1012</v>
      </c>
      <c r="P465">
        <v>1272.6300000000001</v>
      </c>
      <c r="Q465">
        <v>6</v>
      </c>
      <c r="R465">
        <v>0.5</v>
      </c>
      <c r="S465">
        <v>-814.48</v>
      </c>
    </row>
    <row r="466" spans="1:19" x14ac:dyDescent="0.3">
      <c r="A466" t="s">
        <v>1010</v>
      </c>
      <c r="B466">
        <v>2013</v>
      </c>
      <c r="C466" t="s">
        <v>69</v>
      </c>
      <c r="D466" t="s">
        <v>773</v>
      </c>
      <c r="E466">
        <v>7</v>
      </c>
      <c r="F466" t="s">
        <v>45</v>
      </c>
      <c r="G466" t="s">
        <v>1011</v>
      </c>
      <c r="H466" t="s">
        <v>84</v>
      </c>
      <c r="I466" t="s">
        <v>23</v>
      </c>
      <c r="J466" t="s">
        <v>383</v>
      </c>
      <c r="K466" t="s">
        <v>236</v>
      </c>
      <c r="L466" t="s">
        <v>39</v>
      </c>
      <c r="M466" t="s">
        <v>40</v>
      </c>
      <c r="N466" t="s">
        <v>62</v>
      </c>
      <c r="O466" t="s">
        <v>1013</v>
      </c>
      <c r="P466">
        <v>28.49</v>
      </c>
      <c r="Q466">
        <v>5</v>
      </c>
      <c r="R466">
        <v>0.7</v>
      </c>
      <c r="S466">
        <v>-20.89</v>
      </c>
    </row>
    <row r="467" spans="1:19" x14ac:dyDescent="0.3">
      <c r="A467" t="s">
        <v>1010</v>
      </c>
      <c r="B467">
        <v>2013</v>
      </c>
      <c r="C467" t="s">
        <v>69</v>
      </c>
      <c r="D467" t="s">
        <v>773</v>
      </c>
      <c r="E467">
        <v>7</v>
      </c>
      <c r="F467" t="s">
        <v>45</v>
      </c>
      <c r="G467" t="s">
        <v>1011</v>
      </c>
      <c r="H467" t="s">
        <v>84</v>
      </c>
      <c r="I467" t="s">
        <v>23</v>
      </c>
      <c r="J467" t="s">
        <v>383</v>
      </c>
      <c r="K467" t="s">
        <v>236</v>
      </c>
      <c r="L467" t="s">
        <v>39</v>
      </c>
      <c r="M467" t="s">
        <v>40</v>
      </c>
      <c r="N467" t="s">
        <v>402</v>
      </c>
      <c r="O467" t="s">
        <v>1014</v>
      </c>
      <c r="P467">
        <v>185.38</v>
      </c>
      <c r="Q467">
        <v>2</v>
      </c>
      <c r="R467">
        <v>0.2</v>
      </c>
      <c r="S467">
        <v>-34.76</v>
      </c>
    </row>
    <row r="468" spans="1:19" x14ac:dyDescent="0.3">
      <c r="A468" t="s">
        <v>1010</v>
      </c>
      <c r="B468">
        <v>2013</v>
      </c>
      <c r="C468" t="s">
        <v>69</v>
      </c>
      <c r="D468" t="s">
        <v>773</v>
      </c>
      <c r="E468">
        <v>7</v>
      </c>
      <c r="F468" t="s">
        <v>45</v>
      </c>
      <c r="G468" t="s">
        <v>1011</v>
      </c>
      <c r="H468" t="s">
        <v>84</v>
      </c>
      <c r="I468" t="s">
        <v>23</v>
      </c>
      <c r="J468" t="s">
        <v>383</v>
      </c>
      <c r="K468" t="s">
        <v>236</v>
      </c>
      <c r="L468" t="s">
        <v>39</v>
      </c>
      <c r="M468" t="s">
        <v>40</v>
      </c>
      <c r="N468" t="s">
        <v>64</v>
      </c>
      <c r="O468" t="s">
        <v>1015</v>
      </c>
      <c r="P468">
        <v>78.27</v>
      </c>
      <c r="Q468">
        <v>2</v>
      </c>
      <c r="R468">
        <v>0.2</v>
      </c>
      <c r="S468">
        <v>5.87</v>
      </c>
    </row>
    <row r="469" spans="1:19" x14ac:dyDescent="0.3">
      <c r="A469" t="s">
        <v>1016</v>
      </c>
      <c r="B469">
        <v>2012</v>
      </c>
      <c r="C469" t="s">
        <v>129</v>
      </c>
      <c r="D469" t="s">
        <v>1017</v>
      </c>
      <c r="E469">
        <v>7</v>
      </c>
      <c r="F469" t="s">
        <v>45</v>
      </c>
      <c r="G469" t="s">
        <v>1018</v>
      </c>
      <c r="H469" t="s">
        <v>84</v>
      </c>
      <c r="I469" t="s">
        <v>23</v>
      </c>
      <c r="J469" t="s">
        <v>1019</v>
      </c>
      <c r="K469" t="s">
        <v>166</v>
      </c>
      <c r="L469" t="s">
        <v>87</v>
      </c>
      <c r="M469" t="s">
        <v>27</v>
      </c>
      <c r="N469" t="s">
        <v>55</v>
      </c>
      <c r="O469" t="s">
        <v>706</v>
      </c>
      <c r="P469">
        <v>254.74</v>
      </c>
      <c r="Q469">
        <v>7</v>
      </c>
      <c r="R469">
        <v>0.6</v>
      </c>
      <c r="S469">
        <v>-312.06</v>
      </c>
    </row>
    <row r="470" spans="1:19" x14ac:dyDescent="0.3">
      <c r="A470" s="1">
        <v>41643</v>
      </c>
      <c r="B470">
        <v>2014</v>
      </c>
      <c r="C470" t="s">
        <v>69</v>
      </c>
      <c r="D470" s="1">
        <v>41763</v>
      </c>
      <c r="E470">
        <v>4</v>
      </c>
      <c r="F470" t="s">
        <v>45</v>
      </c>
      <c r="G470" t="s">
        <v>587</v>
      </c>
      <c r="H470" t="s">
        <v>36</v>
      </c>
      <c r="I470" t="s">
        <v>23</v>
      </c>
      <c r="J470" t="s">
        <v>1020</v>
      </c>
      <c r="K470" t="s">
        <v>86</v>
      </c>
      <c r="L470" t="s">
        <v>87</v>
      </c>
      <c r="M470" t="s">
        <v>27</v>
      </c>
      <c r="N470" t="s">
        <v>28</v>
      </c>
      <c r="O470" t="s">
        <v>1021</v>
      </c>
      <c r="P470">
        <v>205.33</v>
      </c>
      <c r="Q470">
        <v>2</v>
      </c>
      <c r="R470">
        <v>0.32</v>
      </c>
      <c r="S470">
        <v>-36.24</v>
      </c>
    </row>
    <row r="471" spans="1:19" x14ac:dyDescent="0.3">
      <c r="A471" t="s">
        <v>1022</v>
      </c>
      <c r="B471">
        <v>2013</v>
      </c>
      <c r="C471" t="s">
        <v>76</v>
      </c>
      <c r="D471" t="s">
        <v>692</v>
      </c>
      <c r="E471">
        <v>4</v>
      </c>
      <c r="F471" t="s">
        <v>20</v>
      </c>
      <c r="G471" t="s">
        <v>633</v>
      </c>
      <c r="H471" t="s">
        <v>22</v>
      </c>
      <c r="I471" t="s">
        <v>23</v>
      </c>
      <c r="J471" t="s">
        <v>232</v>
      </c>
      <c r="K471" t="s">
        <v>166</v>
      </c>
      <c r="L471" t="s">
        <v>87</v>
      </c>
      <c r="M471" t="s">
        <v>40</v>
      </c>
      <c r="N471" t="s">
        <v>62</v>
      </c>
      <c r="O471" t="s">
        <v>1023</v>
      </c>
      <c r="P471">
        <v>4.79</v>
      </c>
      <c r="Q471">
        <v>3</v>
      </c>
      <c r="R471">
        <v>0.8</v>
      </c>
      <c r="S471">
        <v>-7.9</v>
      </c>
    </row>
    <row r="472" spans="1:19" x14ac:dyDescent="0.3">
      <c r="A472" t="s">
        <v>795</v>
      </c>
      <c r="B472">
        <v>2012</v>
      </c>
      <c r="C472" t="s">
        <v>76</v>
      </c>
      <c r="D472" t="s">
        <v>578</v>
      </c>
      <c r="E472">
        <v>4</v>
      </c>
      <c r="F472" t="s">
        <v>45</v>
      </c>
      <c r="G472" t="s">
        <v>1024</v>
      </c>
      <c r="H472" t="s">
        <v>36</v>
      </c>
      <c r="I472" t="s">
        <v>23</v>
      </c>
      <c r="J472" t="s">
        <v>1025</v>
      </c>
      <c r="K472" t="s">
        <v>209</v>
      </c>
      <c r="L472" t="s">
        <v>121</v>
      </c>
      <c r="M472" t="s">
        <v>40</v>
      </c>
      <c r="N472" t="s">
        <v>74</v>
      </c>
      <c r="O472" t="s">
        <v>1026</v>
      </c>
      <c r="P472">
        <v>55.48</v>
      </c>
      <c r="Q472">
        <v>1</v>
      </c>
      <c r="R472">
        <v>0</v>
      </c>
      <c r="S472">
        <v>26.63</v>
      </c>
    </row>
    <row r="473" spans="1:19" x14ac:dyDescent="0.3">
      <c r="A473" s="1">
        <v>40797</v>
      </c>
      <c r="B473">
        <v>2011</v>
      </c>
      <c r="C473" t="s">
        <v>19</v>
      </c>
      <c r="D473" s="1">
        <v>40858</v>
      </c>
      <c r="E473">
        <v>2</v>
      </c>
      <c r="F473" t="s">
        <v>20</v>
      </c>
      <c r="G473" t="s">
        <v>1027</v>
      </c>
      <c r="H473" t="s">
        <v>22</v>
      </c>
      <c r="I473" t="s">
        <v>23</v>
      </c>
      <c r="J473" t="s">
        <v>105</v>
      </c>
      <c r="K473" t="s">
        <v>38</v>
      </c>
      <c r="L473" t="s">
        <v>39</v>
      </c>
      <c r="M473" t="s">
        <v>40</v>
      </c>
      <c r="N473" t="s">
        <v>51</v>
      </c>
      <c r="O473" t="s">
        <v>1028</v>
      </c>
      <c r="P473">
        <v>340.92</v>
      </c>
      <c r="Q473">
        <v>3</v>
      </c>
      <c r="R473">
        <v>0</v>
      </c>
      <c r="S473">
        <v>3.41</v>
      </c>
    </row>
    <row r="474" spans="1:19" x14ac:dyDescent="0.3">
      <c r="A474" s="1">
        <v>40797</v>
      </c>
      <c r="B474">
        <v>2011</v>
      </c>
      <c r="C474" t="s">
        <v>19</v>
      </c>
      <c r="D474" s="1">
        <v>40858</v>
      </c>
      <c r="E474">
        <v>2</v>
      </c>
      <c r="F474" t="s">
        <v>20</v>
      </c>
      <c r="G474" t="s">
        <v>1027</v>
      </c>
      <c r="H474" t="s">
        <v>22</v>
      </c>
      <c r="I474" t="s">
        <v>23</v>
      </c>
      <c r="J474" t="s">
        <v>105</v>
      </c>
      <c r="K474" t="s">
        <v>38</v>
      </c>
      <c r="L474" t="s">
        <v>39</v>
      </c>
      <c r="M474" t="s">
        <v>27</v>
      </c>
      <c r="N474" t="s">
        <v>28</v>
      </c>
      <c r="O474" t="s">
        <v>1029</v>
      </c>
      <c r="P474">
        <v>222.67</v>
      </c>
      <c r="Q474">
        <v>2</v>
      </c>
      <c r="R474">
        <v>0.15</v>
      </c>
      <c r="S474">
        <v>10.48</v>
      </c>
    </row>
    <row r="475" spans="1:19" x14ac:dyDescent="0.3">
      <c r="A475" s="1">
        <v>40797</v>
      </c>
      <c r="B475">
        <v>2011</v>
      </c>
      <c r="C475" t="s">
        <v>19</v>
      </c>
      <c r="D475" s="1">
        <v>40858</v>
      </c>
      <c r="E475">
        <v>2</v>
      </c>
      <c r="F475" t="s">
        <v>20</v>
      </c>
      <c r="G475" t="s">
        <v>1027</v>
      </c>
      <c r="H475" t="s">
        <v>22</v>
      </c>
      <c r="I475" t="s">
        <v>23</v>
      </c>
      <c r="J475" t="s">
        <v>105</v>
      </c>
      <c r="K475" t="s">
        <v>38</v>
      </c>
      <c r="L475" t="s">
        <v>39</v>
      </c>
      <c r="M475" t="s">
        <v>59</v>
      </c>
      <c r="N475" t="s">
        <v>60</v>
      </c>
      <c r="O475" t="s">
        <v>1030</v>
      </c>
      <c r="P475">
        <v>703.97</v>
      </c>
      <c r="Q475">
        <v>4</v>
      </c>
      <c r="R475">
        <v>0.2</v>
      </c>
      <c r="S475">
        <v>88</v>
      </c>
    </row>
    <row r="476" spans="1:19" x14ac:dyDescent="0.3">
      <c r="A476" s="1">
        <v>40797</v>
      </c>
      <c r="B476">
        <v>2011</v>
      </c>
      <c r="C476" t="s">
        <v>19</v>
      </c>
      <c r="D476" s="1">
        <v>40858</v>
      </c>
      <c r="E476">
        <v>2</v>
      </c>
      <c r="F476" t="s">
        <v>20</v>
      </c>
      <c r="G476" t="s">
        <v>1027</v>
      </c>
      <c r="H476" t="s">
        <v>22</v>
      </c>
      <c r="I476" t="s">
        <v>23</v>
      </c>
      <c r="J476" t="s">
        <v>105</v>
      </c>
      <c r="K476" t="s">
        <v>38</v>
      </c>
      <c r="L476" t="s">
        <v>39</v>
      </c>
      <c r="M476" t="s">
        <v>40</v>
      </c>
      <c r="N476" t="s">
        <v>51</v>
      </c>
      <c r="O476" t="s">
        <v>1031</v>
      </c>
      <c r="P476">
        <v>92.52</v>
      </c>
      <c r="Q476">
        <v>6</v>
      </c>
      <c r="R476">
        <v>0</v>
      </c>
      <c r="S476">
        <v>24.98</v>
      </c>
    </row>
    <row r="477" spans="1:19" x14ac:dyDescent="0.3">
      <c r="A477" s="1">
        <v>40797</v>
      </c>
      <c r="B477">
        <v>2011</v>
      </c>
      <c r="C477" t="s">
        <v>19</v>
      </c>
      <c r="D477" s="1">
        <v>40858</v>
      </c>
      <c r="E477">
        <v>2</v>
      </c>
      <c r="F477" t="s">
        <v>20</v>
      </c>
      <c r="G477" t="s">
        <v>1027</v>
      </c>
      <c r="H477" t="s">
        <v>22</v>
      </c>
      <c r="I477" t="s">
        <v>23</v>
      </c>
      <c r="J477" t="s">
        <v>105</v>
      </c>
      <c r="K477" t="s">
        <v>38</v>
      </c>
      <c r="L477" t="s">
        <v>39</v>
      </c>
      <c r="M477" t="s">
        <v>40</v>
      </c>
      <c r="N477" t="s">
        <v>74</v>
      </c>
      <c r="O477" t="s">
        <v>1032</v>
      </c>
      <c r="P477">
        <v>62.65</v>
      </c>
      <c r="Q477">
        <v>7</v>
      </c>
      <c r="R477">
        <v>0</v>
      </c>
      <c r="S477">
        <v>28.82</v>
      </c>
    </row>
    <row r="478" spans="1:19" x14ac:dyDescent="0.3">
      <c r="A478" s="1">
        <v>40797</v>
      </c>
      <c r="B478">
        <v>2011</v>
      </c>
      <c r="C478" t="s">
        <v>19</v>
      </c>
      <c r="D478" s="1">
        <v>40858</v>
      </c>
      <c r="E478">
        <v>2</v>
      </c>
      <c r="F478" t="s">
        <v>20</v>
      </c>
      <c r="G478" t="s">
        <v>1027</v>
      </c>
      <c r="H478" t="s">
        <v>22</v>
      </c>
      <c r="I478" t="s">
        <v>23</v>
      </c>
      <c r="J478" t="s">
        <v>105</v>
      </c>
      <c r="K478" t="s">
        <v>38</v>
      </c>
      <c r="L478" t="s">
        <v>39</v>
      </c>
      <c r="M478" t="s">
        <v>40</v>
      </c>
      <c r="N478" t="s">
        <v>74</v>
      </c>
      <c r="O478" t="s">
        <v>1033</v>
      </c>
      <c r="P478">
        <v>94.85</v>
      </c>
      <c r="Q478">
        <v>5</v>
      </c>
      <c r="R478">
        <v>0</v>
      </c>
      <c r="S478">
        <v>45.53</v>
      </c>
    </row>
    <row r="479" spans="1:19" x14ac:dyDescent="0.3">
      <c r="A479" t="s">
        <v>1034</v>
      </c>
      <c r="B479">
        <v>2013</v>
      </c>
      <c r="C479" t="s">
        <v>116</v>
      </c>
      <c r="D479" t="s">
        <v>1035</v>
      </c>
      <c r="E479">
        <v>7</v>
      </c>
      <c r="F479" t="s">
        <v>45</v>
      </c>
      <c r="G479" t="s">
        <v>664</v>
      </c>
      <c r="H479" t="s">
        <v>36</v>
      </c>
      <c r="I479" t="s">
        <v>23</v>
      </c>
      <c r="J479" t="s">
        <v>37</v>
      </c>
      <c r="K479" t="s">
        <v>38</v>
      </c>
      <c r="L479" t="s">
        <v>39</v>
      </c>
      <c r="M479" t="s">
        <v>59</v>
      </c>
      <c r="N479" t="s">
        <v>60</v>
      </c>
      <c r="O479" t="s">
        <v>1036</v>
      </c>
      <c r="P479">
        <v>95.76</v>
      </c>
      <c r="Q479">
        <v>6</v>
      </c>
      <c r="R479">
        <v>0.2</v>
      </c>
      <c r="S479">
        <v>7.18</v>
      </c>
    </row>
    <row r="480" spans="1:19" x14ac:dyDescent="0.3">
      <c r="A480" t="s">
        <v>1037</v>
      </c>
      <c r="B480">
        <v>2013</v>
      </c>
      <c r="C480" t="s">
        <v>43</v>
      </c>
      <c r="D480" s="1">
        <v>41344</v>
      </c>
      <c r="E480">
        <v>6</v>
      </c>
      <c r="F480" t="s">
        <v>45</v>
      </c>
      <c r="G480" t="s">
        <v>1038</v>
      </c>
      <c r="H480" t="s">
        <v>22</v>
      </c>
      <c r="I480" t="s">
        <v>23</v>
      </c>
      <c r="J480" t="s">
        <v>216</v>
      </c>
      <c r="K480" t="s">
        <v>209</v>
      </c>
      <c r="L480" t="s">
        <v>121</v>
      </c>
      <c r="M480" t="s">
        <v>27</v>
      </c>
      <c r="N480" t="s">
        <v>55</v>
      </c>
      <c r="O480" t="s">
        <v>718</v>
      </c>
      <c r="P480">
        <v>40.200000000000003</v>
      </c>
      <c r="Q480">
        <v>3</v>
      </c>
      <c r="R480">
        <v>0</v>
      </c>
      <c r="S480">
        <v>19.3</v>
      </c>
    </row>
    <row r="481" spans="1:19" x14ac:dyDescent="0.3">
      <c r="A481" t="s">
        <v>1039</v>
      </c>
      <c r="B481">
        <v>2013</v>
      </c>
      <c r="C481" t="s">
        <v>33</v>
      </c>
      <c r="D481" s="1">
        <v>41340</v>
      </c>
      <c r="E481">
        <v>6</v>
      </c>
      <c r="F481" t="s">
        <v>45</v>
      </c>
      <c r="G481" t="s">
        <v>1040</v>
      </c>
      <c r="H481" t="s">
        <v>36</v>
      </c>
      <c r="I481" t="s">
        <v>23</v>
      </c>
      <c r="J481" t="s">
        <v>208</v>
      </c>
      <c r="K481" t="s">
        <v>209</v>
      </c>
      <c r="L481" t="s">
        <v>121</v>
      </c>
      <c r="M481" t="s">
        <v>40</v>
      </c>
      <c r="N481" t="s">
        <v>57</v>
      </c>
      <c r="O481" t="s">
        <v>1041</v>
      </c>
      <c r="P481">
        <v>14.7</v>
      </c>
      <c r="Q481">
        <v>5</v>
      </c>
      <c r="R481">
        <v>0</v>
      </c>
      <c r="S481">
        <v>6.62</v>
      </c>
    </row>
    <row r="482" spans="1:19" x14ac:dyDescent="0.3">
      <c r="A482" t="s">
        <v>1039</v>
      </c>
      <c r="B482">
        <v>2013</v>
      </c>
      <c r="C482" t="s">
        <v>33</v>
      </c>
      <c r="D482" s="1">
        <v>41340</v>
      </c>
      <c r="E482">
        <v>6</v>
      </c>
      <c r="F482" t="s">
        <v>45</v>
      </c>
      <c r="G482" t="s">
        <v>1040</v>
      </c>
      <c r="H482" t="s">
        <v>36</v>
      </c>
      <c r="I482" t="s">
        <v>23</v>
      </c>
      <c r="J482" t="s">
        <v>208</v>
      </c>
      <c r="K482" t="s">
        <v>209</v>
      </c>
      <c r="L482" t="s">
        <v>121</v>
      </c>
      <c r="M482" t="s">
        <v>40</v>
      </c>
      <c r="N482" t="s">
        <v>51</v>
      </c>
      <c r="O482" t="s">
        <v>1042</v>
      </c>
      <c r="P482">
        <v>704.25</v>
      </c>
      <c r="Q482">
        <v>5</v>
      </c>
      <c r="R482">
        <v>0</v>
      </c>
      <c r="S482">
        <v>84.51</v>
      </c>
    </row>
    <row r="483" spans="1:19" x14ac:dyDescent="0.3">
      <c r="A483" s="1">
        <v>40704</v>
      </c>
      <c r="B483">
        <v>2011</v>
      </c>
      <c r="C483" t="s">
        <v>43</v>
      </c>
      <c r="D483" s="1">
        <v>40826</v>
      </c>
      <c r="E483">
        <v>4</v>
      </c>
      <c r="F483" t="s">
        <v>45</v>
      </c>
      <c r="G483" t="s">
        <v>1043</v>
      </c>
      <c r="H483" t="s">
        <v>22</v>
      </c>
      <c r="I483" t="s">
        <v>23</v>
      </c>
      <c r="J483" t="s">
        <v>624</v>
      </c>
      <c r="K483" t="s">
        <v>38</v>
      </c>
      <c r="L483" t="s">
        <v>39</v>
      </c>
      <c r="M483" t="s">
        <v>59</v>
      </c>
      <c r="N483" t="s">
        <v>133</v>
      </c>
      <c r="O483" t="s">
        <v>1044</v>
      </c>
      <c r="P483">
        <v>9.09</v>
      </c>
      <c r="Q483">
        <v>3</v>
      </c>
      <c r="R483">
        <v>0</v>
      </c>
      <c r="S483">
        <v>1.91</v>
      </c>
    </row>
    <row r="484" spans="1:19" x14ac:dyDescent="0.3">
      <c r="A484" t="s">
        <v>1045</v>
      </c>
      <c r="B484">
        <v>2011</v>
      </c>
      <c r="C484" t="s">
        <v>116</v>
      </c>
      <c r="D484" t="s">
        <v>839</v>
      </c>
      <c r="E484">
        <v>5</v>
      </c>
      <c r="F484" t="s">
        <v>45</v>
      </c>
      <c r="G484" t="s">
        <v>1046</v>
      </c>
      <c r="H484" t="s">
        <v>22</v>
      </c>
      <c r="I484" t="s">
        <v>23</v>
      </c>
      <c r="J484" t="s">
        <v>208</v>
      </c>
      <c r="K484" t="s">
        <v>209</v>
      </c>
      <c r="L484" t="s">
        <v>121</v>
      </c>
      <c r="M484" t="s">
        <v>40</v>
      </c>
      <c r="N484" t="s">
        <v>57</v>
      </c>
      <c r="O484" t="s">
        <v>272</v>
      </c>
      <c r="P484">
        <v>5.96</v>
      </c>
      <c r="Q484">
        <v>2</v>
      </c>
      <c r="R484">
        <v>0</v>
      </c>
      <c r="S484">
        <v>1.67</v>
      </c>
    </row>
    <row r="485" spans="1:19" x14ac:dyDescent="0.3">
      <c r="A485" t="s">
        <v>1045</v>
      </c>
      <c r="B485">
        <v>2011</v>
      </c>
      <c r="C485" t="s">
        <v>116</v>
      </c>
      <c r="D485" t="s">
        <v>839</v>
      </c>
      <c r="E485">
        <v>5</v>
      </c>
      <c r="F485" t="s">
        <v>45</v>
      </c>
      <c r="G485" t="s">
        <v>1046</v>
      </c>
      <c r="H485" t="s">
        <v>22</v>
      </c>
      <c r="I485" t="s">
        <v>23</v>
      </c>
      <c r="J485" t="s">
        <v>208</v>
      </c>
      <c r="K485" t="s">
        <v>209</v>
      </c>
      <c r="L485" t="s">
        <v>121</v>
      </c>
      <c r="M485" t="s">
        <v>59</v>
      </c>
      <c r="N485" t="s">
        <v>133</v>
      </c>
      <c r="O485" t="s">
        <v>1047</v>
      </c>
      <c r="P485">
        <v>159.97999999999999</v>
      </c>
      <c r="Q485">
        <v>2</v>
      </c>
      <c r="R485">
        <v>0</v>
      </c>
      <c r="S485">
        <v>57.59</v>
      </c>
    </row>
    <row r="486" spans="1:19" x14ac:dyDescent="0.3">
      <c r="A486" s="1">
        <v>41949</v>
      </c>
      <c r="B486">
        <v>2014</v>
      </c>
      <c r="C486" t="s">
        <v>33</v>
      </c>
      <c r="D486" t="s">
        <v>1048</v>
      </c>
      <c r="E486">
        <v>3</v>
      </c>
      <c r="F486" t="s">
        <v>151</v>
      </c>
      <c r="G486" t="s">
        <v>1049</v>
      </c>
      <c r="H486" t="s">
        <v>84</v>
      </c>
      <c r="I486" t="s">
        <v>23</v>
      </c>
      <c r="J486" t="s">
        <v>37</v>
      </c>
      <c r="K486" t="s">
        <v>38</v>
      </c>
      <c r="L486" t="s">
        <v>39</v>
      </c>
      <c r="M486" t="s">
        <v>40</v>
      </c>
      <c r="N486" t="s">
        <v>41</v>
      </c>
      <c r="O486" t="s">
        <v>1050</v>
      </c>
      <c r="P486">
        <v>29.6</v>
      </c>
      <c r="Q486">
        <v>2</v>
      </c>
      <c r="R486">
        <v>0</v>
      </c>
      <c r="S486">
        <v>14.8</v>
      </c>
    </row>
    <row r="487" spans="1:19" x14ac:dyDescent="0.3">
      <c r="A487" s="1">
        <v>41949</v>
      </c>
      <c r="B487">
        <v>2014</v>
      </c>
      <c r="C487" t="s">
        <v>33</v>
      </c>
      <c r="D487" t="s">
        <v>1048</v>
      </c>
      <c r="E487">
        <v>3</v>
      </c>
      <c r="F487" t="s">
        <v>151</v>
      </c>
      <c r="G487" t="s">
        <v>1049</v>
      </c>
      <c r="H487" t="s">
        <v>84</v>
      </c>
      <c r="I487" t="s">
        <v>23</v>
      </c>
      <c r="J487" t="s">
        <v>37</v>
      </c>
      <c r="K487" t="s">
        <v>38</v>
      </c>
      <c r="L487" t="s">
        <v>39</v>
      </c>
      <c r="M487" t="s">
        <v>27</v>
      </c>
      <c r="N487" t="s">
        <v>28</v>
      </c>
      <c r="O487" t="s">
        <v>1051</v>
      </c>
      <c r="P487">
        <v>514.16999999999996</v>
      </c>
      <c r="Q487">
        <v>5</v>
      </c>
      <c r="R487">
        <v>0.15</v>
      </c>
      <c r="S487">
        <v>-30.25</v>
      </c>
    </row>
    <row r="488" spans="1:19" x14ac:dyDescent="0.3">
      <c r="A488" s="1">
        <v>41949</v>
      </c>
      <c r="B488">
        <v>2014</v>
      </c>
      <c r="C488" t="s">
        <v>33</v>
      </c>
      <c r="D488" t="s">
        <v>1048</v>
      </c>
      <c r="E488">
        <v>3</v>
      </c>
      <c r="F488" t="s">
        <v>151</v>
      </c>
      <c r="G488" t="s">
        <v>1049</v>
      </c>
      <c r="H488" t="s">
        <v>84</v>
      </c>
      <c r="I488" t="s">
        <v>23</v>
      </c>
      <c r="J488" t="s">
        <v>37</v>
      </c>
      <c r="K488" t="s">
        <v>38</v>
      </c>
      <c r="L488" t="s">
        <v>39</v>
      </c>
      <c r="M488" t="s">
        <v>59</v>
      </c>
      <c r="N488" t="s">
        <v>60</v>
      </c>
      <c r="O488" t="s">
        <v>1052</v>
      </c>
      <c r="P488">
        <v>279.95999999999998</v>
      </c>
      <c r="Q488">
        <v>5</v>
      </c>
      <c r="R488">
        <v>0.2</v>
      </c>
      <c r="S488">
        <v>17.5</v>
      </c>
    </row>
    <row r="489" spans="1:19" x14ac:dyDescent="0.3">
      <c r="A489" t="s">
        <v>1053</v>
      </c>
      <c r="B489">
        <v>2011</v>
      </c>
      <c r="C489" t="s">
        <v>43</v>
      </c>
      <c r="D489" t="s">
        <v>1054</v>
      </c>
      <c r="E489">
        <v>2</v>
      </c>
      <c r="F489" t="s">
        <v>151</v>
      </c>
      <c r="G489" t="s">
        <v>1055</v>
      </c>
      <c r="H489" t="s">
        <v>22</v>
      </c>
      <c r="I489" t="s">
        <v>23</v>
      </c>
      <c r="J489" t="s">
        <v>232</v>
      </c>
      <c r="K489" t="s">
        <v>166</v>
      </c>
      <c r="L489" t="s">
        <v>87</v>
      </c>
      <c r="M489" t="s">
        <v>59</v>
      </c>
      <c r="N489" t="s">
        <v>60</v>
      </c>
      <c r="O489" t="s">
        <v>1056</v>
      </c>
      <c r="P489">
        <v>2735.95</v>
      </c>
      <c r="Q489">
        <v>6</v>
      </c>
      <c r="R489">
        <v>0.2</v>
      </c>
      <c r="S489">
        <v>341.99</v>
      </c>
    </row>
    <row r="490" spans="1:19" x14ac:dyDescent="0.3">
      <c r="A490" s="1">
        <v>40792</v>
      </c>
      <c r="B490">
        <v>2011</v>
      </c>
      <c r="C490" t="s">
        <v>33</v>
      </c>
      <c r="D490" t="s">
        <v>1057</v>
      </c>
      <c r="E490">
        <v>4</v>
      </c>
      <c r="F490" t="s">
        <v>20</v>
      </c>
      <c r="G490" t="s">
        <v>1058</v>
      </c>
      <c r="H490" t="s">
        <v>84</v>
      </c>
      <c r="I490" t="s">
        <v>23</v>
      </c>
      <c r="J490" t="s">
        <v>1059</v>
      </c>
      <c r="K490" t="s">
        <v>86</v>
      </c>
      <c r="L490" t="s">
        <v>87</v>
      </c>
      <c r="M490" t="s">
        <v>59</v>
      </c>
      <c r="N490" t="s">
        <v>60</v>
      </c>
      <c r="O490" t="s">
        <v>1060</v>
      </c>
      <c r="P490">
        <v>7.99</v>
      </c>
      <c r="Q490">
        <v>1</v>
      </c>
      <c r="R490">
        <v>0.2</v>
      </c>
      <c r="S490">
        <v>0.6</v>
      </c>
    </row>
    <row r="491" spans="1:19" x14ac:dyDescent="0.3">
      <c r="A491" s="1">
        <v>40792</v>
      </c>
      <c r="B491">
        <v>2011</v>
      </c>
      <c r="C491" t="s">
        <v>33</v>
      </c>
      <c r="D491" t="s">
        <v>1057</v>
      </c>
      <c r="E491">
        <v>4</v>
      </c>
      <c r="F491" t="s">
        <v>20</v>
      </c>
      <c r="G491" t="s">
        <v>1058</v>
      </c>
      <c r="H491" t="s">
        <v>84</v>
      </c>
      <c r="I491" t="s">
        <v>23</v>
      </c>
      <c r="J491" t="s">
        <v>1059</v>
      </c>
      <c r="K491" t="s">
        <v>86</v>
      </c>
      <c r="L491" t="s">
        <v>87</v>
      </c>
      <c r="M491" t="s">
        <v>59</v>
      </c>
      <c r="N491" t="s">
        <v>133</v>
      </c>
      <c r="O491" t="s">
        <v>1061</v>
      </c>
      <c r="P491">
        <v>63.98</v>
      </c>
      <c r="Q491">
        <v>2</v>
      </c>
      <c r="R491">
        <v>0.2</v>
      </c>
      <c r="S491">
        <v>10.4</v>
      </c>
    </row>
    <row r="492" spans="1:19" x14ac:dyDescent="0.3">
      <c r="A492" s="1">
        <v>40792</v>
      </c>
      <c r="B492">
        <v>2011</v>
      </c>
      <c r="C492" t="s">
        <v>33</v>
      </c>
      <c r="D492" t="s">
        <v>1057</v>
      </c>
      <c r="E492">
        <v>4</v>
      </c>
      <c r="F492" t="s">
        <v>20</v>
      </c>
      <c r="G492" t="s">
        <v>1058</v>
      </c>
      <c r="H492" t="s">
        <v>84</v>
      </c>
      <c r="I492" t="s">
        <v>23</v>
      </c>
      <c r="J492" t="s">
        <v>1059</v>
      </c>
      <c r="K492" t="s">
        <v>86</v>
      </c>
      <c r="L492" t="s">
        <v>87</v>
      </c>
      <c r="M492" t="s">
        <v>40</v>
      </c>
      <c r="N492" t="s">
        <v>57</v>
      </c>
      <c r="O492" t="s">
        <v>990</v>
      </c>
      <c r="P492">
        <v>70.37</v>
      </c>
      <c r="Q492">
        <v>2</v>
      </c>
      <c r="R492">
        <v>0.2</v>
      </c>
      <c r="S492">
        <v>6.16</v>
      </c>
    </row>
    <row r="493" spans="1:19" x14ac:dyDescent="0.3">
      <c r="A493" t="s">
        <v>476</v>
      </c>
      <c r="B493">
        <v>2011</v>
      </c>
      <c r="C493" t="s">
        <v>124</v>
      </c>
      <c r="D493" t="s">
        <v>477</v>
      </c>
      <c r="E493">
        <v>5</v>
      </c>
      <c r="F493" t="s">
        <v>45</v>
      </c>
      <c r="G493" t="s">
        <v>1062</v>
      </c>
      <c r="H493" t="s">
        <v>22</v>
      </c>
      <c r="I493" t="s">
        <v>23</v>
      </c>
      <c r="J493" t="s">
        <v>288</v>
      </c>
      <c r="K493" t="s">
        <v>209</v>
      </c>
      <c r="L493" t="s">
        <v>121</v>
      </c>
      <c r="M493" t="s">
        <v>40</v>
      </c>
      <c r="N493" t="s">
        <v>51</v>
      </c>
      <c r="O493" t="s">
        <v>1063</v>
      </c>
      <c r="P493">
        <v>449.15</v>
      </c>
      <c r="Q493">
        <v>5</v>
      </c>
      <c r="R493">
        <v>0</v>
      </c>
      <c r="S493">
        <v>8.98</v>
      </c>
    </row>
    <row r="494" spans="1:19" x14ac:dyDescent="0.3">
      <c r="A494" t="s">
        <v>476</v>
      </c>
      <c r="B494">
        <v>2011</v>
      </c>
      <c r="C494" t="s">
        <v>124</v>
      </c>
      <c r="D494" t="s">
        <v>477</v>
      </c>
      <c r="E494">
        <v>5</v>
      </c>
      <c r="F494" t="s">
        <v>45</v>
      </c>
      <c r="G494" t="s">
        <v>1062</v>
      </c>
      <c r="H494" t="s">
        <v>22</v>
      </c>
      <c r="I494" t="s">
        <v>23</v>
      </c>
      <c r="J494" t="s">
        <v>288</v>
      </c>
      <c r="K494" t="s">
        <v>209</v>
      </c>
      <c r="L494" t="s">
        <v>121</v>
      </c>
      <c r="M494" t="s">
        <v>40</v>
      </c>
      <c r="N494" t="s">
        <v>141</v>
      </c>
      <c r="O494" t="s">
        <v>1064</v>
      </c>
      <c r="P494">
        <v>11.07</v>
      </c>
      <c r="Q494">
        <v>3</v>
      </c>
      <c r="R494">
        <v>0</v>
      </c>
      <c r="S494">
        <v>5.09</v>
      </c>
    </row>
    <row r="495" spans="1:19" x14ac:dyDescent="0.3">
      <c r="A495" s="1">
        <v>41552</v>
      </c>
      <c r="B495">
        <v>2013</v>
      </c>
      <c r="C495" t="s">
        <v>96</v>
      </c>
      <c r="D495" t="s">
        <v>1065</v>
      </c>
      <c r="E495">
        <v>5</v>
      </c>
      <c r="F495" t="s">
        <v>45</v>
      </c>
      <c r="G495" t="s">
        <v>1066</v>
      </c>
      <c r="H495" t="s">
        <v>22</v>
      </c>
      <c r="I495" t="s">
        <v>23</v>
      </c>
      <c r="J495" t="s">
        <v>78</v>
      </c>
      <c r="K495" t="s">
        <v>79</v>
      </c>
      <c r="L495" t="s">
        <v>39</v>
      </c>
      <c r="M495" t="s">
        <v>59</v>
      </c>
      <c r="N495" t="s">
        <v>133</v>
      </c>
      <c r="O495" t="s">
        <v>1067</v>
      </c>
      <c r="P495">
        <v>93.98</v>
      </c>
      <c r="Q495">
        <v>2</v>
      </c>
      <c r="R495">
        <v>0</v>
      </c>
      <c r="S495">
        <v>13.16</v>
      </c>
    </row>
    <row r="496" spans="1:19" x14ac:dyDescent="0.3">
      <c r="A496" t="s">
        <v>1068</v>
      </c>
      <c r="B496">
        <v>2013</v>
      </c>
      <c r="C496" t="s">
        <v>177</v>
      </c>
      <c r="D496" t="s">
        <v>1069</v>
      </c>
      <c r="E496">
        <v>3</v>
      </c>
      <c r="F496" t="s">
        <v>20</v>
      </c>
      <c r="G496" t="s">
        <v>1070</v>
      </c>
      <c r="H496" t="s">
        <v>22</v>
      </c>
      <c r="I496" t="s">
        <v>23</v>
      </c>
      <c r="J496" t="s">
        <v>253</v>
      </c>
      <c r="K496" t="s">
        <v>254</v>
      </c>
      <c r="L496" t="s">
        <v>26</v>
      </c>
      <c r="M496" t="s">
        <v>27</v>
      </c>
      <c r="N496" t="s">
        <v>49</v>
      </c>
      <c r="O496" t="s">
        <v>1071</v>
      </c>
      <c r="P496">
        <v>189.88</v>
      </c>
      <c r="Q496">
        <v>3</v>
      </c>
      <c r="R496">
        <v>0.4</v>
      </c>
      <c r="S496">
        <v>-94.94</v>
      </c>
    </row>
    <row r="497" spans="1:19" x14ac:dyDescent="0.3">
      <c r="A497" t="s">
        <v>156</v>
      </c>
      <c r="B497">
        <v>2012</v>
      </c>
      <c r="C497" t="s">
        <v>76</v>
      </c>
      <c r="D497" t="s">
        <v>157</v>
      </c>
      <c r="E497">
        <v>4</v>
      </c>
      <c r="F497" t="s">
        <v>45</v>
      </c>
      <c r="G497" t="s">
        <v>1072</v>
      </c>
      <c r="H497" t="s">
        <v>22</v>
      </c>
      <c r="I497" t="s">
        <v>23</v>
      </c>
      <c r="J497" t="s">
        <v>1073</v>
      </c>
      <c r="K497" t="s">
        <v>1074</v>
      </c>
      <c r="L497" t="s">
        <v>26</v>
      </c>
      <c r="M497" t="s">
        <v>40</v>
      </c>
      <c r="N497" t="s">
        <v>141</v>
      </c>
      <c r="O497" t="s">
        <v>1075</v>
      </c>
      <c r="P497">
        <v>105.42</v>
      </c>
      <c r="Q497">
        <v>2</v>
      </c>
      <c r="R497">
        <v>0</v>
      </c>
      <c r="S497">
        <v>51.66</v>
      </c>
    </row>
    <row r="498" spans="1:19" x14ac:dyDescent="0.3">
      <c r="A498" t="s">
        <v>1076</v>
      </c>
      <c r="B498">
        <v>2013</v>
      </c>
      <c r="C498" t="s">
        <v>116</v>
      </c>
      <c r="D498" s="1">
        <v>41282</v>
      </c>
      <c r="E498">
        <v>6</v>
      </c>
      <c r="F498" t="s">
        <v>45</v>
      </c>
      <c r="G498" t="s">
        <v>1002</v>
      </c>
      <c r="H498" t="s">
        <v>22</v>
      </c>
      <c r="I498" t="s">
        <v>23</v>
      </c>
      <c r="J498" t="s">
        <v>1077</v>
      </c>
      <c r="K498" t="s">
        <v>38</v>
      </c>
      <c r="L498" t="s">
        <v>39</v>
      </c>
      <c r="M498" t="s">
        <v>40</v>
      </c>
      <c r="N498" t="s">
        <v>62</v>
      </c>
      <c r="O498" t="s">
        <v>1078</v>
      </c>
      <c r="P498">
        <v>119.62</v>
      </c>
      <c r="Q498">
        <v>8</v>
      </c>
      <c r="R498">
        <v>0.2</v>
      </c>
      <c r="S498">
        <v>40.369999999999997</v>
      </c>
    </row>
    <row r="499" spans="1:19" x14ac:dyDescent="0.3">
      <c r="A499" t="s">
        <v>1076</v>
      </c>
      <c r="B499">
        <v>2013</v>
      </c>
      <c r="C499" t="s">
        <v>116</v>
      </c>
      <c r="D499" s="1">
        <v>41282</v>
      </c>
      <c r="E499">
        <v>6</v>
      </c>
      <c r="F499" t="s">
        <v>45</v>
      </c>
      <c r="G499" t="s">
        <v>1002</v>
      </c>
      <c r="H499" t="s">
        <v>22</v>
      </c>
      <c r="I499" t="s">
        <v>23</v>
      </c>
      <c r="J499" t="s">
        <v>1077</v>
      </c>
      <c r="K499" t="s">
        <v>38</v>
      </c>
      <c r="L499" t="s">
        <v>39</v>
      </c>
      <c r="M499" t="s">
        <v>27</v>
      </c>
      <c r="N499" t="s">
        <v>55</v>
      </c>
      <c r="O499" t="s">
        <v>1079</v>
      </c>
      <c r="P499">
        <v>255.76</v>
      </c>
      <c r="Q499">
        <v>4</v>
      </c>
      <c r="R499">
        <v>0</v>
      </c>
      <c r="S499">
        <v>81.84</v>
      </c>
    </row>
    <row r="500" spans="1:19" x14ac:dyDescent="0.3">
      <c r="A500" t="s">
        <v>1076</v>
      </c>
      <c r="B500">
        <v>2013</v>
      </c>
      <c r="C500" t="s">
        <v>116</v>
      </c>
      <c r="D500" s="1">
        <v>41282</v>
      </c>
      <c r="E500">
        <v>6</v>
      </c>
      <c r="F500" t="s">
        <v>45</v>
      </c>
      <c r="G500" t="s">
        <v>1002</v>
      </c>
      <c r="H500" t="s">
        <v>22</v>
      </c>
      <c r="I500" t="s">
        <v>23</v>
      </c>
      <c r="J500" t="s">
        <v>1077</v>
      </c>
      <c r="K500" t="s">
        <v>38</v>
      </c>
      <c r="L500" t="s">
        <v>39</v>
      </c>
      <c r="M500" t="s">
        <v>27</v>
      </c>
      <c r="N500" t="s">
        <v>30</v>
      </c>
      <c r="O500" t="s">
        <v>750</v>
      </c>
      <c r="P500">
        <v>241.57</v>
      </c>
      <c r="Q500">
        <v>2</v>
      </c>
      <c r="R500">
        <v>0.2</v>
      </c>
      <c r="S500">
        <v>18.12</v>
      </c>
    </row>
    <row r="501" spans="1:19" x14ac:dyDescent="0.3">
      <c r="A501" t="s">
        <v>1076</v>
      </c>
      <c r="B501">
        <v>2013</v>
      </c>
      <c r="C501" t="s">
        <v>116</v>
      </c>
      <c r="D501" s="1">
        <v>41282</v>
      </c>
      <c r="E501">
        <v>6</v>
      </c>
      <c r="F501" t="s">
        <v>45</v>
      </c>
      <c r="G501" t="s">
        <v>1002</v>
      </c>
      <c r="H501" t="s">
        <v>22</v>
      </c>
      <c r="I501" t="s">
        <v>23</v>
      </c>
      <c r="J501" t="s">
        <v>1077</v>
      </c>
      <c r="K501" t="s">
        <v>38</v>
      </c>
      <c r="L501" t="s">
        <v>39</v>
      </c>
      <c r="M501" t="s">
        <v>27</v>
      </c>
      <c r="N501" t="s">
        <v>55</v>
      </c>
      <c r="O501" t="s">
        <v>1080</v>
      </c>
      <c r="P501">
        <v>69.3</v>
      </c>
      <c r="Q501">
        <v>9</v>
      </c>
      <c r="R501">
        <v>0</v>
      </c>
      <c r="S501">
        <v>22.87</v>
      </c>
    </row>
    <row r="502" spans="1:19" x14ac:dyDescent="0.3">
      <c r="A502" t="s">
        <v>1081</v>
      </c>
      <c r="B502">
        <v>2013</v>
      </c>
      <c r="C502" t="s">
        <v>96</v>
      </c>
      <c r="D502" s="1">
        <v>41400</v>
      </c>
      <c r="E502">
        <v>5</v>
      </c>
      <c r="F502" t="s">
        <v>45</v>
      </c>
      <c r="G502" t="s">
        <v>1082</v>
      </c>
      <c r="H502" t="s">
        <v>36</v>
      </c>
      <c r="I502" t="s">
        <v>23</v>
      </c>
      <c r="J502" t="s">
        <v>1083</v>
      </c>
      <c r="K502" t="s">
        <v>329</v>
      </c>
      <c r="L502" t="s">
        <v>39</v>
      </c>
      <c r="M502" t="s">
        <v>40</v>
      </c>
      <c r="N502" t="s">
        <v>62</v>
      </c>
      <c r="O502" t="s">
        <v>1084</v>
      </c>
      <c r="P502">
        <v>22.62</v>
      </c>
      <c r="Q502">
        <v>2</v>
      </c>
      <c r="R502">
        <v>0.7</v>
      </c>
      <c r="S502">
        <v>-15.08</v>
      </c>
    </row>
    <row r="503" spans="1:19" x14ac:dyDescent="0.3">
      <c r="A503" t="s">
        <v>1081</v>
      </c>
      <c r="B503">
        <v>2013</v>
      </c>
      <c r="C503" t="s">
        <v>96</v>
      </c>
      <c r="D503" s="1">
        <v>41400</v>
      </c>
      <c r="E503">
        <v>5</v>
      </c>
      <c r="F503" t="s">
        <v>45</v>
      </c>
      <c r="G503" t="s">
        <v>1082</v>
      </c>
      <c r="H503" t="s">
        <v>36</v>
      </c>
      <c r="I503" t="s">
        <v>23</v>
      </c>
      <c r="J503" t="s">
        <v>1083</v>
      </c>
      <c r="K503" t="s">
        <v>329</v>
      </c>
      <c r="L503" t="s">
        <v>39</v>
      </c>
      <c r="M503" t="s">
        <v>40</v>
      </c>
      <c r="N503" t="s">
        <v>62</v>
      </c>
      <c r="O503" t="s">
        <v>1085</v>
      </c>
      <c r="P503">
        <v>14.95</v>
      </c>
      <c r="Q503">
        <v>2</v>
      </c>
      <c r="R503">
        <v>0.7</v>
      </c>
      <c r="S503">
        <v>-11.96</v>
      </c>
    </row>
    <row r="504" spans="1:19" x14ac:dyDescent="0.3">
      <c r="A504" t="s">
        <v>1081</v>
      </c>
      <c r="B504">
        <v>2013</v>
      </c>
      <c r="C504" t="s">
        <v>96</v>
      </c>
      <c r="D504" s="1">
        <v>41400</v>
      </c>
      <c r="E504">
        <v>5</v>
      </c>
      <c r="F504" t="s">
        <v>45</v>
      </c>
      <c r="G504" t="s">
        <v>1082</v>
      </c>
      <c r="H504" t="s">
        <v>36</v>
      </c>
      <c r="I504" t="s">
        <v>23</v>
      </c>
      <c r="J504" t="s">
        <v>1083</v>
      </c>
      <c r="K504" t="s">
        <v>329</v>
      </c>
      <c r="L504" t="s">
        <v>39</v>
      </c>
      <c r="M504" t="s">
        <v>27</v>
      </c>
      <c r="N504" t="s">
        <v>30</v>
      </c>
      <c r="O504" t="s">
        <v>1086</v>
      </c>
      <c r="P504">
        <v>801.57</v>
      </c>
      <c r="Q504">
        <v>2</v>
      </c>
      <c r="R504">
        <v>0.2</v>
      </c>
      <c r="S504">
        <v>50.1</v>
      </c>
    </row>
    <row r="505" spans="1:19" x14ac:dyDescent="0.3">
      <c r="A505" t="s">
        <v>1081</v>
      </c>
      <c r="B505">
        <v>2013</v>
      </c>
      <c r="C505" t="s">
        <v>96</v>
      </c>
      <c r="D505" s="1">
        <v>41400</v>
      </c>
      <c r="E505">
        <v>5</v>
      </c>
      <c r="F505" t="s">
        <v>45</v>
      </c>
      <c r="G505" t="s">
        <v>1082</v>
      </c>
      <c r="H505" t="s">
        <v>36</v>
      </c>
      <c r="I505" t="s">
        <v>23</v>
      </c>
      <c r="J505" t="s">
        <v>1083</v>
      </c>
      <c r="K505" t="s">
        <v>329</v>
      </c>
      <c r="L505" t="s">
        <v>39</v>
      </c>
      <c r="M505" t="s">
        <v>40</v>
      </c>
      <c r="N505" t="s">
        <v>62</v>
      </c>
      <c r="O505" t="s">
        <v>1087</v>
      </c>
      <c r="P505">
        <v>2.38</v>
      </c>
      <c r="Q505">
        <v>3</v>
      </c>
      <c r="R505">
        <v>0.7</v>
      </c>
      <c r="S505">
        <v>-1.9</v>
      </c>
    </row>
    <row r="506" spans="1:19" x14ac:dyDescent="0.3">
      <c r="A506" t="s">
        <v>1081</v>
      </c>
      <c r="B506">
        <v>2013</v>
      </c>
      <c r="C506" t="s">
        <v>96</v>
      </c>
      <c r="D506" s="1">
        <v>41400</v>
      </c>
      <c r="E506">
        <v>5</v>
      </c>
      <c r="F506" t="s">
        <v>45</v>
      </c>
      <c r="G506" t="s">
        <v>1082</v>
      </c>
      <c r="H506" t="s">
        <v>36</v>
      </c>
      <c r="I506" t="s">
        <v>23</v>
      </c>
      <c r="J506" t="s">
        <v>1083</v>
      </c>
      <c r="K506" t="s">
        <v>329</v>
      </c>
      <c r="L506" t="s">
        <v>39</v>
      </c>
      <c r="M506" t="s">
        <v>40</v>
      </c>
      <c r="N506" t="s">
        <v>74</v>
      </c>
      <c r="O506" t="s">
        <v>1088</v>
      </c>
      <c r="P506">
        <v>32.79</v>
      </c>
      <c r="Q506">
        <v>1</v>
      </c>
      <c r="R506">
        <v>0.2</v>
      </c>
      <c r="S506">
        <v>11.89</v>
      </c>
    </row>
    <row r="507" spans="1:19" x14ac:dyDescent="0.3">
      <c r="A507" t="s">
        <v>304</v>
      </c>
      <c r="B507">
        <v>2014</v>
      </c>
      <c r="C507" t="s">
        <v>19</v>
      </c>
      <c r="D507" t="s">
        <v>1089</v>
      </c>
      <c r="E507">
        <v>3</v>
      </c>
      <c r="F507" t="s">
        <v>20</v>
      </c>
      <c r="G507" t="s">
        <v>996</v>
      </c>
      <c r="H507" t="s">
        <v>36</v>
      </c>
      <c r="I507" t="s">
        <v>23</v>
      </c>
      <c r="J507" t="s">
        <v>208</v>
      </c>
      <c r="K507" t="s">
        <v>209</v>
      </c>
      <c r="L507" t="s">
        <v>121</v>
      </c>
      <c r="M507" t="s">
        <v>40</v>
      </c>
      <c r="N507" t="s">
        <v>62</v>
      </c>
      <c r="O507" t="s">
        <v>384</v>
      </c>
      <c r="P507">
        <v>15.92</v>
      </c>
      <c r="Q507">
        <v>5</v>
      </c>
      <c r="R507">
        <v>0.2</v>
      </c>
      <c r="S507">
        <v>5.37</v>
      </c>
    </row>
    <row r="508" spans="1:19" x14ac:dyDescent="0.3">
      <c r="A508" t="s">
        <v>1090</v>
      </c>
      <c r="B508">
        <v>2012</v>
      </c>
      <c r="C508" t="s">
        <v>177</v>
      </c>
      <c r="D508" t="s">
        <v>1091</v>
      </c>
      <c r="E508">
        <v>6</v>
      </c>
      <c r="F508" t="s">
        <v>45</v>
      </c>
      <c r="G508" t="s">
        <v>1092</v>
      </c>
      <c r="H508" t="s">
        <v>22</v>
      </c>
      <c r="I508" t="s">
        <v>23</v>
      </c>
      <c r="J508" t="s">
        <v>1093</v>
      </c>
      <c r="K508" t="s">
        <v>817</v>
      </c>
      <c r="L508" t="s">
        <v>26</v>
      </c>
      <c r="M508" t="s">
        <v>40</v>
      </c>
      <c r="N508" t="s">
        <v>57</v>
      </c>
      <c r="O508" t="s">
        <v>1094</v>
      </c>
      <c r="P508">
        <v>2.74</v>
      </c>
      <c r="Q508">
        <v>1</v>
      </c>
      <c r="R508">
        <v>0</v>
      </c>
      <c r="S508">
        <v>0.74</v>
      </c>
    </row>
    <row r="509" spans="1:19" x14ac:dyDescent="0.3">
      <c r="A509" t="s">
        <v>1090</v>
      </c>
      <c r="B509">
        <v>2012</v>
      </c>
      <c r="C509" t="s">
        <v>177</v>
      </c>
      <c r="D509" t="s">
        <v>1091</v>
      </c>
      <c r="E509">
        <v>6</v>
      </c>
      <c r="F509" t="s">
        <v>45</v>
      </c>
      <c r="G509" t="s">
        <v>1092</v>
      </c>
      <c r="H509" t="s">
        <v>22</v>
      </c>
      <c r="I509" t="s">
        <v>23</v>
      </c>
      <c r="J509" t="s">
        <v>1093</v>
      </c>
      <c r="K509" t="s">
        <v>817</v>
      </c>
      <c r="L509" t="s">
        <v>26</v>
      </c>
      <c r="M509" t="s">
        <v>40</v>
      </c>
      <c r="N509" t="s">
        <v>57</v>
      </c>
      <c r="O509" t="s">
        <v>1095</v>
      </c>
      <c r="P509">
        <v>8.34</v>
      </c>
      <c r="Q509">
        <v>3</v>
      </c>
      <c r="R509">
        <v>0</v>
      </c>
      <c r="S509">
        <v>2.17</v>
      </c>
    </row>
    <row r="510" spans="1:19" x14ac:dyDescent="0.3">
      <c r="A510" t="s">
        <v>1090</v>
      </c>
      <c r="B510">
        <v>2012</v>
      </c>
      <c r="C510" t="s">
        <v>177</v>
      </c>
      <c r="D510" t="s">
        <v>1091</v>
      </c>
      <c r="E510">
        <v>6</v>
      </c>
      <c r="F510" t="s">
        <v>45</v>
      </c>
      <c r="G510" t="s">
        <v>1092</v>
      </c>
      <c r="H510" t="s">
        <v>22</v>
      </c>
      <c r="I510" t="s">
        <v>23</v>
      </c>
      <c r="J510" t="s">
        <v>1093</v>
      </c>
      <c r="K510" t="s">
        <v>817</v>
      </c>
      <c r="L510" t="s">
        <v>26</v>
      </c>
      <c r="M510" t="s">
        <v>40</v>
      </c>
      <c r="N510" t="s">
        <v>51</v>
      </c>
      <c r="O510" t="s">
        <v>1096</v>
      </c>
      <c r="P510">
        <v>46.74</v>
      </c>
      <c r="Q510">
        <v>3</v>
      </c>
      <c r="R510">
        <v>0</v>
      </c>
      <c r="S510">
        <v>11.69</v>
      </c>
    </row>
    <row r="511" spans="1:19" x14ac:dyDescent="0.3">
      <c r="A511" t="s">
        <v>1090</v>
      </c>
      <c r="B511">
        <v>2012</v>
      </c>
      <c r="C511" t="s">
        <v>177</v>
      </c>
      <c r="D511" t="s">
        <v>1091</v>
      </c>
      <c r="E511">
        <v>6</v>
      </c>
      <c r="F511" t="s">
        <v>45</v>
      </c>
      <c r="G511" t="s">
        <v>1092</v>
      </c>
      <c r="H511" t="s">
        <v>22</v>
      </c>
      <c r="I511" t="s">
        <v>23</v>
      </c>
      <c r="J511" t="s">
        <v>1093</v>
      </c>
      <c r="K511" t="s">
        <v>817</v>
      </c>
      <c r="L511" t="s">
        <v>26</v>
      </c>
      <c r="M511" t="s">
        <v>40</v>
      </c>
      <c r="N511" t="s">
        <v>62</v>
      </c>
      <c r="O511" t="s">
        <v>1097</v>
      </c>
      <c r="P511">
        <v>6354.95</v>
      </c>
      <c r="Q511">
        <v>5</v>
      </c>
      <c r="R511">
        <v>0</v>
      </c>
      <c r="S511">
        <v>3177.48</v>
      </c>
    </row>
    <row r="512" spans="1:19" x14ac:dyDescent="0.3">
      <c r="A512" t="s">
        <v>946</v>
      </c>
      <c r="B512">
        <v>2014</v>
      </c>
      <c r="C512" t="s">
        <v>19</v>
      </c>
      <c r="D512" t="s">
        <v>1098</v>
      </c>
      <c r="E512">
        <v>1</v>
      </c>
      <c r="F512" t="s">
        <v>151</v>
      </c>
      <c r="G512" t="s">
        <v>1099</v>
      </c>
      <c r="H512" t="s">
        <v>22</v>
      </c>
      <c r="I512" t="s">
        <v>23</v>
      </c>
      <c r="J512" t="s">
        <v>1100</v>
      </c>
      <c r="K512" t="s">
        <v>414</v>
      </c>
      <c r="L512" t="s">
        <v>87</v>
      </c>
      <c r="M512" t="s">
        <v>27</v>
      </c>
      <c r="N512" t="s">
        <v>55</v>
      </c>
      <c r="O512" t="s">
        <v>1101</v>
      </c>
      <c r="P512">
        <v>126.3</v>
      </c>
      <c r="Q512">
        <v>3</v>
      </c>
      <c r="R512">
        <v>0</v>
      </c>
      <c r="S512">
        <v>40.42</v>
      </c>
    </row>
    <row r="513" spans="1:19" x14ac:dyDescent="0.3">
      <c r="A513" t="s">
        <v>946</v>
      </c>
      <c r="B513">
        <v>2014</v>
      </c>
      <c r="C513" t="s">
        <v>19</v>
      </c>
      <c r="D513" t="s">
        <v>1098</v>
      </c>
      <c r="E513">
        <v>1</v>
      </c>
      <c r="F513" t="s">
        <v>151</v>
      </c>
      <c r="G513" t="s">
        <v>1099</v>
      </c>
      <c r="H513" t="s">
        <v>22</v>
      </c>
      <c r="I513" t="s">
        <v>23</v>
      </c>
      <c r="J513" t="s">
        <v>1100</v>
      </c>
      <c r="K513" t="s">
        <v>414</v>
      </c>
      <c r="L513" t="s">
        <v>87</v>
      </c>
      <c r="M513" t="s">
        <v>59</v>
      </c>
      <c r="N513" t="s">
        <v>133</v>
      </c>
      <c r="O513" t="s">
        <v>1102</v>
      </c>
      <c r="P513">
        <v>38.04</v>
      </c>
      <c r="Q513">
        <v>2</v>
      </c>
      <c r="R513">
        <v>0</v>
      </c>
      <c r="S513">
        <v>12.17</v>
      </c>
    </row>
    <row r="514" spans="1:19" x14ac:dyDescent="0.3">
      <c r="A514" t="s">
        <v>1103</v>
      </c>
      <c r="B514">
        <v>2013</v>
      </c>
      <c r="C514" t="s">
        <v>43</v>
      </c>
      <c r="D514" t="s">
        <v>1104</v>
      </c>
      <c r="E514">
        <v>3</v>
      </c>
      <c r="F514" t="s">
        <v>151</v>
      </c>
      <c r="G514" t="s">
        <v>900</v>
      </c>
      <c r="H514" t="s">
        <v>22</v>
      </c>
      <c r="I514" t="s">
        <v>23</v>
      </c>
      <c r="J514" t="s">
        <v>421</v>
      </c>
      <c r="K514" t="s">
        <v>357</v>
      </c>
      <c r="L514" t="s">
        <v>121</v>
      </c>
      <c r="M514" t="s">
        <v>40</v>
      </c>
      <c r="N514" t="s">
        <v>57</v>
      </c>
      <c r="O514" t="s">
        <v>272</v>
      </c>
      <c r="P514">
        <v>7.15</v>
      </c>
      <c r="Q514">
        <v>3</v>
      </c>
      <c r="R514">
        <v>0.2</v>
      </c>
      <c r="S514">
        <v>0.72</v>
      </c>
    </row>
    <row r="515" spans="1:19" x14ac:dyDescent="0.3">
      <c r="A515" t="s">
        <v>550</v>
      </c>
      <c r="B515">
        <v>2014</v>
      </c>
      <c r="C515" t="s">
        <v>76</v>
      </c>
      <c r="D515" t="s">
        <v>345</v>
      </c>
      <c r="E515">
        <v>4</v>
      </c>
      <c r="F515" t="s">
        <v>45</v>
      </c>
      <c r="G515" t="s">
        <v>1105</v>
      </c>
      <c r="H515" t="s">
        <v>22</v>
      </c>
      <c r="I515" t="s">
        <v>23</v>
      </c>
      <c r="J515" t="s">
        <v>37</v>
      </c>
      <c r="K515" t="s">
        <v>38</v>
      </c>
      <c r="L515" t="s">
        <v>39</v>
      </c>
      <c r="M515" t="s">
        <v>40</v>
      </c>
      <c r="N515" t="s">
        <v>57</v>
      </c>
      <c r="O515" t="s">
        <v>1106</v>
      </c>
      <c r="P515">
        <v>6.63</v>
      </c>
      <c r="Q515">
        <v>3</v>
      </c>
      <c r="R515">
        <v>0</v>
      </c>
      <c r="S515">
        <v>1.79</v>
      </c>
    </row>
    <row r="516" spans="1:19" x14ac:dyDescent="0.3">
      <c r="A516" t="s">
        <v>550</v>
      </c>
      <c r="B516">
        <v>2014</v>
      </c>
      <c r="C516" t="s">
        <v>76</v>
      </c>
      <c r="D516" t="s">
        <v>345</v>
      </c>
      <c r="E516">
        <v>4</v>
      </c>
      <c r="F516" t="s">
        <v>45</v>
      </c>
      <c r="G516" t="s">
        <v>1105</v>
      </c>
      <c r="H516" t="s">
        <v>22</v>
      </c>
      <c r="I516" t="s">
        <v>23</v>
      </c>
      <c r="J516" t="s">
        <v>37</v>
      </c>
      <c r="K516" t="s">
        <v>38</v>
      </c>
      <c r="L516" t="s">
        <v>39</v>
      </c>
      <c r="M516" t="s">
        <v>40</v>
      </c>
      <c r="N516" t="s">
        <v>57</v>
      </c>
      <c r="O516" t="s">
        <v>1107</v>
      </c>
      <c r="P516">
        <v>5.88</v>
      </c>
      <c r="Q516">
        <v>2</v>
      </c>
      <c r="R516">
        <v>0</v>
      </c>
      <c r="S516">
        <v>1.71</v>
      </c>
    </row>
    <row r="517" spans="1:19" x14ac:dyDescent="0.3">
      <c r="A517" t="s">
        <v>1108</v>
      </c>
      <c r="B517">
        <v>2014</v>
      </c>
      <c r="C517" t="s">
        <v>129</v>
      </c>
      <c r="D517" t="s">
        <v>1109</v>
      </c>
      <c r="E517">
        <v>5</v>
      </c>
      <c r="F517" t="s">
        <v>45</v>
      </c>
      <c r="G517" t="s">
        <v>375</v>
      </c>
      <c r="H517" t="s">
        <v>84</v>
      </c>
      <c r="I517" t="s">
        <v>23</v>
      </c>
      <c r="J517" t="s">
        <v>1110</v>
      </c>
      <c r="K517" t="s">
        <v>1111</v>
      </c>
      <c r="L517" t="s">
        <v>39</v>
      </c>
      <c r="M517" t="s">
        <v>59</v>
      </c>
      <c r="N517" t="s">
        <v>780</v>
      </c>
      <c r="O517" t="s">
        <v>1112</v>
      </c>
      <c r="P517">
        <v>2999.95</v>
      </c>
      <c r="Q517">
        <v>5</v>
      </c>
      <c r="R517">
        <v>0</v>
      </c>
      <c r="S517">
        <v>1379.98</v>
      </c>
    </row>
    <row r="518" spans="1:19" x14ac:dyDescent="0.3">
      <c r="A518" t="s">
        <v>1108</v>
      </c>
      <c r="B518">
        <v>2014</v>
      </c>
      <c r="C518" t="s">
        <v>129</v>
      </c>
      <c r="D518" t="s">
        <v>1109</v>
      </c>
      <c r="E518">
        <v>5</v>
      </c>
      <c r="F518" t="s">
        <v>45</v>
      </c>
      <c r="G518" t="s">
        <v>375</v>
      </c>
      <c r="H518" t="s">
        <v>84</v>
      </c>
      <c r="I518" t="s">
        <v>23</v>
      </c>
      <c r="J518" t="s">
        <v>1110</v>
      </c>
      <c r="K518" t="s">
        <v>1111</v>
      </c>
      <c r="L518" t="s">
        <v>39</v>
      </c>
      <c r="M518" t="s">
        <v>40</v>
      </c>
      <c r="N518" t="s">
        <v>51</v>
      </c>
      <c r="O518" t="s">
        <v>1113</v>
      </c>
      <c r="P518">
        <v>51.45</v>
      </c>
      <c r="Q518">
        <v>3</v>
      </c>
      <c r="R518">
        <v>0</v>
      </c>
      <c r="S518">
        <v>13.89</v>
      </c>
    </row>
    <row r="519" spans="1:19" x14ac:dyDescent="0.3">
      <c r="A519" t="s">
        <v>1108</v>
      </c>
      <c r="B519">
        <v>2014</v>
      </c>
      <c r="C519" t="s">
        <v>129</v>
      </c>
      <c r="D519" t="s">
        <v>1109</v>
      </c>
      <c r="E519">
        <v>5</v>
      </c>
      <c r="F519" t="s">
        <v>45</v>
      </c>
      <c r="G519" t="s">
        <v>375</v>
      </c>
      <c r="H519" t="s">
        <v>84</v>
      </c>
      <c r="I519" t="s">
        <v>23</v>
      </c>
      <c r="J519" t="s">
        <v>1110</v>
      </c>
      <c r="K519" t="s">
        <v>1111</v>
      </c>
      <c r="L519" t="s">
        <v>39</v>
      </c>
      <c r="M519" t="s">
        <v>40</v>
      </c>
      <c r="N519" t="s">
        <v>74</v>
      </c>
      <c r="O519" t="s">
        <v>1114</v>
      </c>
      <c r="P519">
        <v>11.96</v>
      </c>
      <c r="Q519">
        <v>2</v>
      </c>
      <c r="R519">
        <v>0</v>
      </c>
      <c r="S519">
        <v>5.38</v>
      </c>
    </row>
    <row r="520" spans="1:19" x14ac:dyDescent="0.3">
      <c r="A520" t="s">
        <v>1108</v>
      </c>
      <c r="B520">
        <v>2014</v>
      </c>
      <c r="C520" t="s">
        <v>129</v>
      </c>
      <c r="D520" t="s">
        <v>1109</v>
      </c>
      <c r="E520">
        <v>5</v>
      </c>
      <c r="F520" t="s">
        <v>45</v>
      </c>
      <c r="G520" t="s">
        <v>375</v>
      </c>
      <c r="H520" t="s">
        <v>84</v>
      </c>
      <c r="I520" t="s">
        <v>23</v>
      </c>
      <c r="J520" t="s">
        <v>1110</v>
      </c>
      <c r="K520" t="s">
        <v>1111</v>
      </c>
      <c r="L520" t="s">
        <v>39</v>
      </c>
      <c r="M520" t="s">
        <v>40</v>
      </c>
      <c r="N520" t="s">
        <v>51</v>
      </c>
      <c r="O520" t="s">
        <v>1115</v>
      </c>
      <c r="P520">
        <v>1126.02</v>
      </c>
      <c r="Q520">
        <v>3</v>
      </c>
      <c r="R520">
        <v>0</v>
      </c>
      <c r="S520">
        <v>56.3</v>
      </c>
    </row>
    <row r="521" spans="1:19" x14ac:dyDescent="0.3">
      <c r="A521" t="s">
        <v>1091</v>
      </c>
      <c r="B521">
        <v>2012</v>
      </c>
      <c r="C521" t="s">
        <v>177</v>
      </c>
      <c r="D521" t="s">
        <v>1116</v>
      </c>
      <c r="E521">
        <v>4</v>
      </c>
      <c r="F521" t="s">
        <v>45</v>
      </c>
      <c r="G521" t="s">
        <v>1117</v>
      </c>
      <c r="H521" t="s">
        <v>22</v>
      </c>
      <c r="I521" t="s">
        <v>23</v>
      </c>
      <c r="J521" t="s">
        <v>149</v>
      </c>
      <c r="K521" t="s">
        <v>86</v>
      </c>
      <c r="L521" t="s">
        <v>87</v>
      </c>
      <c r="M521" t="s">
        <v>59</v>
      </c>
      <c r="N521" t="s">
        <v>133</v>
      </c>
      <c r="O521" t="s">
        <v>182</v>
      </c>
      <c r="P521">
        <v>18.39</v>
      </c>
      <c r="Q521">
        <v>1</v>
      </c>
      <c r="R521">
        <v>0.2</v>
      </c>
      <c r="S521">
        <v>5.29</v>
      </c>
    </row>
    <row r="522" spans="1:19" x14ac:dyDescent="0.3">
      <c r="A522" t="s">
        <v>1091</v>
      </c>
      <c r="B522">
        <v>2012</v>
      </c>
      <c r="C522" t="s">
        <v>177</v>
      </c>
      <c r="D522" t="s">
        <v>1116</v>
      </c>
      <c r="E522">
        <v>4</v>
      </c>
      <c r="F522" t="s">
        <v>45</v>
      </c>
      <c r="G522" t="s">
        <v>1117</v>
      </c>
      <c r="H522" t="s">
        <v>22</v>
      </c>
      <c r="I522" t="s">
        <v>23</v>
      </c>
      <c r="J522" t="s">
        <v>149</v>
      </c>
      <c r="K522" t="s">
        <v>86</v>
      </c>
      <c r="L522" t="s">
        <v>87</v>
      </c>
      <c r="M522" t="s">
        <v>40</v>
      </c>
      <c r="N522" t="s">
        <v>51</v>
      </c>
      <c r="O522" t="s">
        <v>1118</v>
      </c>
      <c r="P522">
        <v>129.57</v>
      </c>
      <c r="Q522">
        <v>2</v>
      </c>
      <c r="R522">
        <v>0.2</v>
      </c>
      <c r="S522">
        <v>-25.91</v>
      </c>
    </row>
    <row r="523" spans="1:19" x14ac:dyDescent="0.3">
      <c r="A523" t="s">
        <v>1091</v>
      </c>
      <c r="B523">
        <v>2012</v>
      </c>
      <c r="C523" t="s">
        <v>177</v>
      </c>
      <c r="D523" t="s">
        <v>1116</v>
      </c>
      <c r="E523">
        <v>4</v>
      </c>
      <c r="F523" t="s">
        <v>45</v>
      </c>
      <c r="G523" t="s">
        <v>1117</v>
      </c>
      <c r="H523" t="s">
        <v>22</v>
      </c>
      <c r="I523" t="s">
        <v>23</v>
      </c>
      <c r="J523" t="s">
        <v>149</v>
      </c>
      <c r="K523" t="s">
        <v>86</v>
      </c>
      <c r="L523" t="s">
        <v>87</v>
      </c>
      <c r="M523" t="s">
        <v>40</v>
      </c>
      <c r="N523" t="s">
        <v>62</v>
      </c>
      <c r="O523" t="s">
        <v>1119</v>
      </c>
      <c r="P523">
        <v>14.11</v>
      </c>
      <c r="Q523">
        <v>9</v>
      </c>
      <c r="R523">
        <v>0.8</v>
      </c>
      <c r="S523">
        <v>-21.17</v>
      </c>
    </row>
    <row r="524" spans="1:19" x14ac:dyDescent="0.3">
      <c r="A524" t="s">
        <v>974</v>
      </c>
      <c r="B524">
        <v>2014</v>
      </c>
      <c r="C524" t="s">
        <v>129</v>
      </c>
      <c r="D524" t="s">
        <v>1120</v>
      </c>
      <c r="E524">
        <v>2</v>
      </c>
      <c r="F524" t="s">
        <v>151</v>
      </c>
      <c r="G524" t="s">
        <v>1121</v>
      </c>
      <c r="H524" t="s">
        <v>36</v>
      </c>
      <c r="I524" t="s">
        <v>23</v>
      </c>
      <c r="J524" t="s">
        <v>588</v>
      </c>
      <c r="K524" t="s">
        <v>188</v>
      </c>
      <c r="L524" t="s">
        <v>87</v>
      </c>
      <c r="M524" t="s">
        <v>27</v>
      </c>
      <c r="N524" t="s">
        <v>49</v>
      </c>
      <c r="O524" t="s">
        <v>1071</v>
      </c>
      <c r="P524">
        <v>210.98</v>
      </c>
      <c r="Q524">
        <v>2</v>
      </c>
      <c r="R524">
        <v>0</v>
      </c>
      <c r="S524">
        <v>21.1</v>
      </c>
    </row>
    <row r="525" spans="1:19" x14ac:dyDescent="0.3">
      <c r="A525" t="s">
        <v>1122</v>
      </c>
      <c r="B525">
        <v>2013</v>
      </c>
      <c r="C525" t="s">
        <v>96</v>
      </c>
      <c r="D525" t="s">
        <v>1123</v>
      </c>
      <c r="E525">
        <v>2</v>
      </c>
      <c r="F525" t="s">
        <v>151</v>
      </c>
      <c r="G525" t="s">
        <v>621</v>
      </c>
      <c r="H525" t="s">
        <v>22</v>
      </c>
      <c r="I525" t="s">
        <v>23</v>
      </c>
      <c r="J525" t="s">
        <v>37</v>
      </c>
      <c r="K525" t="s">
        <v>38</v>
      </c>
      <c r="L525" t="s">
        <v>39</v>
      </c>
      <c r="M525" t="s">
        <v>59</v>
      </c>
      <c r="N525" t="s">
        <v>60</v>
      </c>
      <c r="O525" t="s">
        <v>1124</v>
      </c>
      <c r="P525">
        <v>55.18</v>
      </c>
      <c r="Q525">
        <v>3</v>
      </c>
      <c r="R525">
        <v>0.2</v>
      </c>
      <c r="S525">
        <v>-12.41</v>
      </c>
    </row>
    <row r="526" spans="1:19" x14ac:dyDescent="0.3">
      <c r="A526" t="s">
        <v>1122</v>
      </c>
      <c r="B526">
        <v>2013</v>
      </c>
      <c r="C526" t="s">
        <v>96</v>
      </c>
      <c r="D526" t="s">
        <v>1123</v>
      </c>
      <c r="E526">
        <v>2</v>
      </c>
      <c r="F526" t="s">
        <v>151</v>
      </c>
      <c r="G526" t="s">
        <v>621</v>
      </c>
      <c r="H526" t="s">
        <v>22</v>
      </c>
      <c r="I526" t="s">
        <v>23</v>
      </c>
      <c r="J526" t="s">
        <v>37</v>
      </c>
      <c r="K526" t="s">
        <v>38</v>
      </c>
      <c r="L526" t="s">
        <v>39</v>
      </c>
      <c r="M526" t="s">
        <v>59</v>
      </c>
      <c r="N526" t="s">
        <v>133</v>
      </c>
      <c r="O526" t="s">
        <v>1125</v>
      </c>
      <c r="P526">
        <v>66.260000000000005</v>
      </c>
      <c r="Q526">
        <v>2</v>
      </c>
      <c r="R526">
        <v>0</v>
      </c>
      <c r="S526">
        <v>27.17</v>
      </c>
    </row>
    <row r="527" spans="1:19" x14ac:dyDescent="0.3">
      <c r="A527" t="s">
        <v>1126</v>
      </c>
      <c r="B527">
        <v>2012</v>
      </c>
      <c r="C527" t="s">
        <v>76</v>
      </c>
      <c r="D527" s="1">
        <v>41306</v>
      </c>
      <c r="E527">
        <v>7</v>
      </c>
      <c r="F527" t="s">
        <v>45</v>
      </c>
      <c r="G527" t="s">
        <v>1127</v>
      </c>
      <c r="H527" t="s">
        <v>22</v>
      </c>
      <c r="I527" t="s">
        <v>23</v>
      </c>
      <c r="J527" t="s">
        <v>938</v>
      </c>
      <c r="K527" t="s">
        <v>803</v>
      </c>
      <c r="L527" t="s">
        <v>121</v>
      </c>
      <c r="M527" t="s">
        <v>40</v>
      </c>
      <c r="N527" t="s">
        <v>210</v>
      </c>
      <c r="O527" t="s">
        <v>150</v>
      </c>
      <c r="P527">
        <v>22.2</v>
      </c>
      <c r="Q527">
        <v>5</v>
      </c>
      <c r="R527">
        <v>0</v>
      </c>
      <c r="S527">
        <v>10.43</v>
      </c>
    </row>
    <row r="528" spans="1:19" x14ac:dyDescent="0.3">
      <c r="A528" t="s">
        <v>1128</v>
      </c>
      <c r="B528">
        <v>2014</v>
      </c>
      <c r="C528" t="s">
        <v>43</v>
      </c>
      <c r="D528" t="s">
        <v>286</v>
      </c>
      <c r="E528">
        <v>5</v>
      </c>
      <c r="F528" t="s">
        <v>45</v>
      </c>
      <c r="G528" t="s">
        <v>1129</v>
      </c>
      <c r="H528" t="s">
        <v>84</v>
      </c>
      <c r="I528" t="s">
        <v>23</v>
      </c>
      <c r="J528" t="s">
        <v>1130</v>
      </c>
      <c r="K528" t="s">
        <v>48</v>
      </c>
      <c r="L528" t="s">
        <v>26</v>
      </c>
      <c r="M528" t="s">
        <v>27</v>
      </c>
      <c r="N528" t="s">
        <v>30</v>
      </c>
      <c r="O528" t="s">
        <v>1131</v>
      </c>
      <c r="P528">
        <v>683.95</v>
      </c>
      <c r="Q528">
        <v>3</v>
      </c>
      <c r="R528">
        <v>0.2</v>
      </c>
      <c r="S528">
        <v>42.75</v>
      </c>
    </row>
    <row r="529" spans="1:19" x14ac:dyDescent="0.3">
      <c r="A529" t="s">
        <v>1128</v>
      </c>
      <c r="B529">
        <v>2014</v>
      </c>
      <c r="C529" t="s">
        <v>43</v>
      </c>
      <c r="D529" t="s">
        <v>286</v>
      </c>
      <c r="E529">
        <v>5</v>
      </c>
      <c r="F529" t="s">
        <v>45</v>
      </c>
      <c r="G529" t="s">
        <v>1129</v>
      </c>
      <c r="H529" t="s">
        <v>84</v>
      </c>
      <c r="I529" t="s">
        <v>23</v>
      </c>
      <c r="J529" t="s">
        <v>1130</v>
      </c>
      <c r="K529" t="s">
        <v>48</v>
      </c>
      <c r="L529" t="s">
        <v>26</v>
      </c>
      <c r="M529" t="s">
        <v>27</v>
      </c>
      <c r="N529" t="s">
        <v>55</v>
      </c>
      <c r="O529" t="s">
        <v>736</v>
      </c>
      <c r="P529">
        <v>45.7</v>
      </c>
      <c r="Q529">
        <v>3</v>
      </c>
      <c r="R529">
        <v>0.2</v>
      </c>
      <c r="S529">
        <v>5.14</v>
      </c>
    </row>
    <row r="530" spans="1:19" x14ac:dyDescent="0.3">
      <c r="A530" s="1">
        <v>40977</v>
      </c>
      <c r="B530">
        <v>2012</v>
      </c>
      <c r="C530" t="s">
        <v>124</v>
      </c>
      <c r="D530" s="1">
        <v>41099</v>
      </c>
      <c r="E530">
        <v>4</v>
      </c>
      <c r="F530" t="s">
        <v>45</v>
      </c>
      <c r="G530" t="s">
        <v>1132</v>
      </c>
      <c r="H530" t="s">
        <v>22</v>
      </c>
      <c r="I530" t="s">
        <v>23</v>
      </c>
      <c r="J530" t="s">
        <v>119</v>
      </c>
      <c r="K530" t="s">
        <v>120</v>
      </c>
      <c r="L530" t="s">
        <v>121</v>
      </c>
      <c r="M530" t="s">
        <v>40</v>
      </c>
      <c r="N530" t="s">
        <v>51</v>
      </c>
      <c r="O530" t="s">
        <v>1133</v>
      </c>
      <c r="P530">
        <v>36.340000000000003</v>
      </c>
      <c r="Q530">
        <v>3</v>
      </c>
      <c r="R530">
        <v>0.2</v>
      </c>
      <c r="S530">
        <v>-7.27</v>
      </c>
    </row>
    <row r="531" spans="1:19" x14ac:dyDescent="0.3">
      <c r="A531" s="1">
        <v>40977</v>
      </c>
      <c r="B531">
        <v>2012</v>
      </c>
      <c r="C531" t="s">
        <v>124</v>
      </c>
      <c r="D531" s="1">
        <v>41099</v>
      </c>
      <c r="E531">
        <v>4</v>
      </c>
      <c r="F531" t="s">
        <v>45</v>
      </c>
      <c r="G531" t="s">
        <v>1132</v>
      </c>
      <c r="H531" t="s">
        <v>22</v>
      </c>
      <c r="I531" t="s">
        <v>23</v>
      </c>
      <c r="J531" t="s">
        <v>119</v>
      </c>
      <c r="K531" t="s">
        <v>120</v>
      </c>
      <c r="L531" t="s">
        <v>121</v>
      </c>
      <c r="M531" t="s">
        <v>40</v>
      </c>
      <c r="N531" t="s">
        <v>402</v>
      </c>
      <c r="O531" t="s">
        <v>1134</v>
      </c>
      <c r="P531">
        <v>666.25</v>
      </c>
      <c r="Q531">
        <v>1</v>
      </c>
      <c r="R531">
        <v>0.2</v>
      </c>
      <c r="S531">
        <v>-149.91</v>
      </c>
    </row>
    <row r="532" spans="1:19" x14ac:dyDescent="0.3">
      <c r="A532" s="1">
        <v>40977</v>
      </c>
      <c r="B532">
        <v>2012</v>
      </c>
      <c r="C532" t="s">
        <v>124</v>
      </c>
      <c r="D532" s="1">
        <v>41099</v>
      </c>
      <c r="E532">
        <v>4</v>
      </c>
      <c r="F532" t="s">
        <v>45</v>
      </c>
      <c r="G532" t="s">
        <v>1132</v>
      </c>
      <c r="H532" t="s">
        <v>22</v>
      </c>
      <c r="I532" t="s">
        <v>23</v>
      </c>
      <c r="J532" t="s">
        <v>119</v>
      </c>
      <c r="K532" t="s">
        <v>120</v>
      </c>
      <c r="L532" t="s">
        <v>121</v>
      </c>
      <c r="M532" t="s">
        <v>40</v>
      </c>
      <c r="N532" t="s">
        <v>141</v>
      </c>
      <c r="O532" t="s">
        <v>1135</v>
      </c>
      <c r="P532">
        <v>52.51</v>
      </c>
      <c r="Q532">
        <v>6</v>
      </c>
      <c r="R532">
        <v>0.2</v>
      </c>
      <c r="S532">
        <v>19.690000000000001</v>
      </c>
    </row>
    <row r="533" spans="1:19" x14ac:dyDescent="0.3">
      <c r="A533" s="1">
        <v>41101</v>
      </c>
      <c r="B533">
        <v>2012</v>
      </c>
      <c r="C533" t="s">
        <v>19</v>
      </c>
      <c r="D533" s="1">
        <v>41163</v>
      </c>
      <c r="E533">
        <v>2</v>
      </c>
      <c r="F533" t="s">
        <v>20</v>
      </c>
      <c r="G533" t="s">
        <v>1136</v>
      </c>
      <c r="H533" t="s">
        <v>36</v>
      </c>
      <c r="I533" t="s">
        <v>23</v>
      </c>
      <c r="J533" t="s">
        <v>37</v>
      </c>
      <c r="K533" t="s">
        <v>38</v>
      </c>
      <c r="L533" t="s">
        <v>39</v>
      </c>
      <c r="M533" t="s">
        <v>27</v>
      </c>
      <c r="N533" t="s">
        <v>30</v>
      </c>
      <c r="O533" t="s">
        <v>1137</v>
      </c>
      <c r="P533">
        <v>190.72</v>
      </c>
      <c r="Q533">
        <v>1</v>
      </c>
      <c r="R533">
        <v>0.2</v>
      </c>
      <c r="S533">
        <v>11.92</v>
      </c>
    </row>
    <row r="534" spans="1:19" x14ac:dyDescent="0.3">
      <c r="A534" s="1">
        <v>41860</v>
      </c>
      <c r="B534">
        <v>2014</v>
      </c>
      <c r="C534" t="s">
        <v>124</v>
      </c>
      <c r="D534" s="1">
        <v>41982</v>
      </c>
      <c r="E534">
        <v>4</v>
      </c>
      <c r="F534" t="s">
        <v>45</v>
      </c>
      <c r="G534" t="s">
        <v>1138</v>
      </c>
      <c r="H534" t="s">
        <v>22</v>
      </c>
      <c r="I534" t="s">
        <v>23</v>
      </c>
      <c r="J534" t="s">
        <v>37</v>
      </c>
      <c r="K534" t="s">
        <v>38</v>
      </c>
      <c r="L534" t="s">
        <v>39</v>
      </c>
      <c r="M534" t="s">
        <v>27</v>
      </c>
      <c r="N534" t="s">
        <v>55</v>
      </c>
      <c r="O534" t="s">
        <v>1139</v>
      </c>
      <c r="P534">
        <v>47.94</v>
      </c>
      <c r="Q534">
        <v>3</v>
      </c>
      <c r="R534">
        <v>0</v>
      </c>
      <c r="S534">
        <v>2.4</v>
      </c>
    </row>
    <row r="535" spans="1:19" x14ac:dyDescent="0.3">
      <c r="A535" t="s">
        <v>1140</v>
      </c>
      <c r="B535">
        <v>2013</v>
      </c>
      <c r="C535" t="s">
        <v>96</v>
      </c>
      <c r="D535" s="1">
        <v>41311</v>
      </c>
      <c r="E535">
        <v>3</v>
      </c>
      <c r="F535" t="s">
        <v>20</v>
      </c>
      <c r="G535" t="s">
        <v>1141</v>
      </c>
      <c r="H535" t="s">
        <v>22</v>
      </c>
      <c r="I535" t="s">
        <v>23</v>
      </c>
      <c r="J535" t="s">
        <v>1142</v>
      </c>
      <c r="K535" t="s">
        <v>267</v>
      </c>
      <c r="L535" t="s">
        <v>26</v>
      </c>
      <c r="M535" t="s">
        <v>59</v>
      </c>
      <c r="N535" t="s">
        <v>60</v>
      </c>
      <c r="O535" t="s">
        <v>1143</v>
      </c>
      <c r="P535">
        <v>979.95</v>
      </c>
      <c r="Q535">
        <v>5</v>
      </c>
      <c r="R535">
        <v>0</v>
      </c>
      <c r="S535">
        <v>274.39</v>
      </c>
    </row>
    <row r="536" spans="1:19" x14ac:dyDescent="0.3">
      <c r="A536" t="s">
        <v>1140</v>
      </c>
      <c r="B536">
        <v>2013</v>
      </c>
      <c r="C536" t="s">
        <v>96</v>
      </c>
      <c r="D536" s="1">
        <v>41311</v>
      </c>
      <c r="E536">
        <v>3</v>
      </c>
      <c r="F536" t="s">
        <v>20</v>
      </c>
      <c r="G536" t="s">
        <v>1141</v>
      </c>
      <c r="H536" t="s">
        <v>22</v>
      </c>
      <c r="I536" t="s">
        <v>23</v>
      </c>
      <c r="J536" t="s">
        <v>1142</v>
      </c>
      <c r="K536" t="s">
        <v>267</v>
      </c>
      <c r="L536" t="s">
        <v>26</v>
      </c>
      <c r="M536" t="s">
        <v>40</v>
      </c>
      <c r="N536" t="s">
        <v>62</v>
      </c>
      <c r="O536" t="s">
        <v>670</v>
      </c>
      <c r="P536">
        <v>22.75</v>
      </c>
      <c r="Q536">
        <v>5</v>
      </c>
      <c r="R536">
        <v>0</v>
      </c>
      <c r="S536">
        <v>11.38</v>
      </c>
    </row>
    <row r="537" spans="1:19" x14ac:dyDescent="0.3">
      <c r="A537" s="1">
        <v>41585</v>
      </c>
      <c r="B537">
        <v>2013</v>
      </c>
      <c r="C537" t="s">
        <v>116</v>
      </c>
      <c r="D537" t="s">
        <v>513</v>
      </c>
      <c r="E537">
        <v>6</v>
      </c>
      <c r="F537" t="s">
        <v>45</v>
      </c>
      <c r="G537" t="s">
        <v>1144</v>
      </c>
      <c r="H537" t="s">
        <v>22</v>
      </c>
      <c r="I537" t="s">
        <v>23</v>
      </c>
      <c r="J537" t="s">
        <v>1145</v>
      </c>
      <c r="K537" t="s">
        <v>236</v>
      </c>
      <c r="L537" t="s">
        <v>39</v>
      </c>
      <c r="M537" t="s">
        <v>40</v>
      </c>
      <c r="N537" t="s">
        <v>51</v>
      </c>
      <c r="O537" t="s">
        <v>1146</v>
      </c>
      <c r="P537">
        <v>16.77</v>
      </c>
      <c r="Q537">
        <v>2</v>
      </c>
      <c r="R537">
        <v>0.2</v>
      </c>
      <c r="S537">
        <v>1.47</v>
      </c>
    </row>
    <row r="538" spans="1:19" x14ac:dyDescent="0.3">
      <c r="A538" s="1">
        <v>41738</v>
      </c>
      <c r="B538">
        <v>2014</v>
      </c>
      <c r="C538" t="s">
        <v>124</v>
      </c>
      <c r="D538" s="1">
        <v>41891</v>
      </c>
      <c r="E538">
        <v>5</v>
      </c>
      <c r="F538" t="s">
        <v>20</v>
      </c>
      <c r="G538" t="s">
        <v>1147</v>
      </c>
      <c r="H538" t="s">
        <v>22</v>
      </c>
      <c r="I538" t="s">
        <v>23</v>
      </c>
      <c r="J538" t="s">
        <v>232</v>
      </c>
      <c r="K538" t="s">
        <v>166</v>
      </c>
      <c r="L538" t="s">
        <v>87</v>
      </c>
      <c r="M538" t="s">
        <v>40</v>
      </c>
      <c r="N538" t="s">
        <v>62</v>
      </c>
      <c r="O538" t="s">
        <v>1148</v>
      </c>
      <c r="P538">
        <v>42.62</v>
      </c>
      <c r="Q538">
        <v>7</v>
      </c>
      <c r="R538">
        <v>0.8</v>
      </c>
      <c r="S538">
        <v>-68.19</v>
      </c>
    </row>
    <row r="539" spans="1:19" x14ac:dyDescent="0.3">
      <c r="A539" s="1">
        <v>40980</v>
      </c>
      <c r="B539">
        <v>2012</v>
      </c>
      <c r="C539" t="s">
        <v>76</v>
      </c>
      <c r="D539" s="1">
        <v>41133</v>
      </c>
      <c r="E539">
        <v>5</v>
      </c>
      <c r="F539" t="s">
        <v>45</v>
      </c>
      <c r="G539" t="s">
        <v>518</v>
      </c>
      <c r="H539" t="s">
        <v>84</v>
      </c>
      <c r="I539" t="s">
        <v>23</v>
      </c>
      <c r="J539" t="s">
        <v>208</v>
      </c>
      <c r="K539" t="s">
        <v>209</v>
      </c>
      <c r="L539" t="s">
        <v>121</v>
      </c>
      <c r="M539" t="s">
        <v>40</v>
      </c>
      <c r="N539" t="s">
        <v>62</v>
      </c>
      <c r="O539" t="s">
        <v>1149</v>
      </c>
      <c r="P539">
        <v>10.75</v>
      </c>
      <c r="Q539">
        <v>4</v>
      </c>
      <c r="R539">
        <v>0.2</v>
      </c>
      <c r="S539">
        <v>3.36</v>
      </c>
    </row>
    <row r="540" spans="1:19" x14ac:dyDescent="0.3">
      <c r="A540" s="1">
        <v>41102</v>
      </c>
      <c r="B540">
        <v>2012</v>
      </c>
      <c r="C540" t="s">
        <v>76</v>
      </c>
      <c r="D540" s="1">
        <v>41225</v>
      </c>
      <c r="E540">
        <v>4</v>
      </c>
      <c r="F540" t="s">
        <v>45</v>
      </c>
      <c r="G540" t="s">
        <v>1150</v>
      </c>
      <c r="H540" t="s">
        <v>22</v>
      </c>
      <c r="I540" t="s">
        <v>23</v>
      </c>
      <c r="J540" t="s">
        <v>24</v>
      </c>
      <c r="K540" t="s">
        <v>25</v>
      </c>
      <c r="L540" t="s">
        <v>26</v>
      </c>
      <c r="M540" t="s">
        <v>40</v>
      </c>
      <c r="N540" t="s">
        <v>64</v>
      </c>
      <c r="O540" t="s">
        <v>1151</v>
      </c>
      <c r="P540">
        <v>152.94</v>
      </c>
      <c r="Q540">
        <v>3</v>
      </c>
      <c r="R540">
        <v>0</v>
      </c>
      <c r="S540">
        <v>41.29</v>
      </c>
    </row>
    <row r="541" spans="1:19" x14ac:dyDescent="0.3">
      <c r="A541" s="1">
        <v>41102</v>
      </c>
      <c r="B541">
        <v>2012</v>
      </c>
      <c r="C541" t="s">
        <v>76</v>
      </c>
      <c r="D541" s="1">
        <v>41225</v>
      </c>
      <c r="E541">
        <v>4</v>
      </c>
      <c r="F541" t="s">
        <v>45</v>
      </c>
      <c r="G541" t="s">
        <v>1150</v>
      </c>
      <c r="H541" t="s">
        <v>22</v>
      </c>
      <c r="I541" t="s">
        <v>23</v>
      </c>
      <c r="J541" t="s">
        <v>24</v>
      </c>
      <c r="K541" t="s">
        <v>25</v>
      </c>
      <c r="L541" t="s">
        <v>26</v>
      </c>
      <c r="M541" t="s">
        <v>27</v>
      </c>
      <c r="N541" t="s">
        <v>30</v>
      </c>
      <c r="O541" t="s">
        <v>1152</v>
      </c>
      <c r="P541">
        <v>283.92</v>
      </c>
      <c r="Q541">
        <v>4</v>
      </c>
      <c r="R541">
        <v>0</v>
      </c>
      <c r="S541">
        <v>70.98</v>
      </c>
    </row>
    <row r="542" spans="1:19" x14ac:dyDescent="0.3">
      <c r="A542" s="1">
        <v>40576</v>
      </c>
      <c r="B542">
        <v>2011</v>
      </c>
      <c r="C542" t="s">
        <v>389</v>
      </c>
      <c r="D542" s="1">
        <v>40635</v>
      </c>
      <c r="E542">
        <v>2</v>
      </c>
      <c r="F542" t="s">
        <v>151</v>
      </c>
      <c r="G542" t="s">
        <v>1153</v>
      </c>
      <c r="H542" t="s">
        <v>22</v>
      </c>
      <c r="I542" t="s">
        <v>23</v>
      </c>
      <c r="J542" t="s">
        <v>1154</v>
      </c>
      <c r="K542" t="s">
        <v>93</v>
      </c>
      <c r="L542" t="s">
        <v>87</v>
      </c>
      <c r="M542" t="s">
        <v>59</v>
      </c>
      <c r="N542" t="s">
        <v>133</v>
      </c>
      <c r="O542" t="s">
        <v>1155</v>
      </c>
      <c r="P542">
        <v>468.9</v>
      </c>
      <c r="Q542">
        <v>6</v>
      </c>
      <c r="R542">
        <v>0</v>
      </c>
      <c r="S542">
        <v>206.32</v>
      </c>
    </row>
    <row r="543" spans="1:19" x14ac:dyDescent="0.3">
      <c r="A543" t="s">
        <v>1156</v>
      </c>
      <c r="B543">
        <v>2013</v>
      </c>
      <c r="C543" t="s">
        <v>116</v>
      </c>
      <c r="D543" t="s">
        <v>168</v>
      </c>
      <c r="E543">
        <v>3</v>
      </c>
      <c r="F543" t="s">
        <v>151</v>
      </c>
      <c r="G543" t="s">
        <v>174</v>
      </c>
      <c r="H543" t="s">
        <v>36</v>
      </c>
      <c r="I543" t="s">
        <v>23</v>
      </c>
      <c r="J543" t="s">
        <v>841</v>
      </c>
      <c r="K543" t="s">
        <v>236</v>
      </c>
      <c r="L543" t="s">
        <v>39</v>
      </c>
      <c r="M543" t="s">
        <v>59</v>
      </c>
      <c r="N543" t="s">
        <v>60</v>
      </c>
      <c r="O543" t="s">
        <v>1157</v>
      </c>
      <c r="P543">
        <v>380.86</v>
      </c>
      <c r="Q543">
        <v>8</v>
      </c>
      <c r="R543">
        <v>0.2</v>
      </c>
      <c r="S543">
        <v>38.090000000000003</v>
      </c>
    </row>
    <row r="544" spans="1:19" x14ac:dyDescent="0.3">
      <c r="A544" t="s">
        <v>1158</v>
      </c>
      <c r="B544">
        <v>2012</v>
      </c>
      <c r="C544" t="s">
        <v>76</v>
      </c>
      <c r="D544" t="s">
        <v>1159</v>
      </c>
      <c r="E544">
        <v>5</v>
      </c>
      <c r="F544" t="s">
        <v>45</v>
      </c>
      <c r="G544" t="s">
        <v>1160</v>
      </c>
      <c r="H544" t="s">
        <v>22</v>
      </c>
      <c r="I544" t="s">
        <v>23</v>
      </c>
      <c r="J544" t="s">
        <v>240</v>
      </c>
      <c r="K544" t="s">
        <v>357</v>
      </c>
      <c r="L544" t="s">
        <v>121</v>
      </c>
      <c r="M544" t="s">
        <v>40</v>
      </c>
      <c r="N544" t="s">
        <v>51</v>
      </c>
      <c r="O544" t="s">
        <v>1063</v>
      </c>
      <c r="P544">
        <v>646.78</v>
      </c>
      <c r="Q544">
        <v>9</v>
      </c>
      <c r="R544">
        <v>0.2</v>
      </c>
      <c r="S544">
        <v>-145.52000000000001</v>
      </c>
    </row>
    <row r="545" spans="1:19" x14ac:dyDescent="0.3">
      <c r="A545" s="1">
        <v>40852</v>
      </c>
      <c r="B545">
        <v>2011</v>
      </c>
      <c r="C545" t="s">
        <v>96</v>
      </c>
      <c r="D545" t="s">
        <v>1161</v>
      </c>
      <c r="E545">
        <v>5</v>
      </c>
      <c r="F545" t="s">
        <v>45</v>
      </c>
      <c r="G545" t="s">
        <v>287</v>
      </c>
      <c r="H545" t="s">
        <v>22</v>
      </c>
      <c r="I545" t="s">
        <v>23</v>
      </c>
      <c r="J545" t="s">
        <v>85</v>
      </c>
      <c r="K545" t="s">
        <v>86</v>
      </c>
      <c r="L545" t="s">
        <v>87</v>
      </c>
      <c r="M545" t="s">
        <v>59</v>
      </c>
      <c r="N545" t="s">
        <v>133</v>
      </c>
      <c r="O545" t="s">
        <v>1162</v>
      </c>
      <c r="P545">
        <v>58.11</v>
      </c>
      <c r="Q545">
        <v>2</v>
      </c>
      <c r="R545">
        <v>0.2</v>
      </c>
      <c r="S545">
        <v>7.26</v>
      </c>
    </row>
    <row r="546" spans="1:19" x14ac:dyDescent="0.3">
      <c r="A546" s="1">
        <v>40852</v>
      </c>
      <c r="B546">
        <v>2011</v>
      </c>
      <c r="C546" t="s">
        <v>96</v>
      </c>
      <c r="D546" t="s">
        <v>1161</v>
      </c>
      <c r="E546">
        <v>5</v>
      </c>
      <c r="F546" t="s">
        <v>45</v>
      </c>
      <c r="G546" t="s">
        <v>287</v>
      </c>
      <c r="H546" t="s">
        <v>22</v>
      </c>
      <c r="I546" t="s">
        <v>23</v>
      </c>
      <c r="J546" t="s">
        <v>85</v>
      </c>
      <c r="K546" t="s">
        <v>86</v>
      </c>
      <c r="L546" t="s">
        <v>87</v>
      </c>
      <c r="M546" t="s">
        <v>59</v>
      </c>
      <c r="N546" t="s">
        <v>60</v>
      </c>
      <c r="O546" t="s">
        <v>1163</v>
      </c>
      <c r="P546">
        <v>100.79</v>
      </c>
      <c r="Q546">
        <v>1</v>
      </c>
      <c r="R546">
        <v>0.2</v>
      </c>
      <c r="S546">
        <v>6.3</v>
      </c>
    </row>
    <row r="547" spans="1:19" x14ac:dyDescent="0.3">
      <c r="A547" s="1">
        <v>40852</v>
      </c>
      <c r="B547">
        <v>2011</v>
      </c>
      <c r="C547" t="s">
        <v>96</v>
      </c>
      <c r="D547" t="s">
        <v>1161</v>
      </c>
      <c r="E547">
        <v>5</v>
      </c>
      <c r="F547" t="s">
        <v>45</v>
      </c>
      <c r="G547" t="s">
        <v>287</v>
      </c>
      <c r="H547" t="s">
        <v>22</v>
      </c>
      <c r="I547" t="s">
        <v>23</v>
      </c>
      <c r="J547" t="s">
        <v>85</v>
      </c>
      <c r="K547" t="s">
        <v>86</v>
      </c>
      <c r="L547" t="s">
        <v>87</v>
      </c>
      <c r="M547" t="s">
        <v>27</v>
      </c>
      <c r="N547" t="s">
        <v>55</v>
      </c>
      <c r="O547" t="s">
        <v>1164</v>
      </c>
      <c r="P547">
        <v>66.11</v>
      </c>
      <c r="Q547">
        <v>4</v>
      </c>
      <c r="R547">
        <v>0.6</v>
      </c>
      <c r="S547">
        <v>-84.29</v>
      </c>
    </row>
    <row r="548" spans="1:19" x14ac:dyDescent="0.3">
      <c r="A548" t="s">
        <v>715</v>
      </c>
      <c r="B548">
        <v>2014</v>
      </c>
      <c r="C548" t="s">
        <v>19</v>
      </c>
      <c r="D548" t="s">
        <v>1165</v>
      </c>
      <c r="E548">
        <v>3</v>
      </c>
      <c r="F548" t="s">
        <v>151</v>
      </c>
      <c r="G548" t="s">
        <v>1166</v>
      </c>
      <c r="H548" t="s">
        <v>84</v>
      </c>
      <c r="I548" t="s">
        <v>23</v>
      </c>
      <c r="J548" t="s">
        <v>208</v>
      </c>
      <c r="K548" t="s">
        <v>209</v>
      </c>
      <c r="L548" t="s">
        <v>121</v>
      </c>
      <c r="M548" t="s">
        <v>40</v>
      </c>
      <c r="N548" t="s">
        <v>62</v>
      </c>
      <c r="O548" t="s">
        <v>1167</v>
      </c>
      <c r="P548">
        <v>41.28</v>
      </c>
      <c r="Q548">
        <v>6</v>
      </c>
      <c r="R548">
        <v>0.2</v>
      </c>
      <c r="S548">
        <v>13.93</v>
      </c>
    </row>
    <row r="549" spans="1:19" x14ac:dyDescent="0.3">
      <c r="A549" t="s">
        <v>715</v>
      </c>
      <c r="B549">
        <v>2014</v>
      </c>
      <c r="C549" t="s">
        <v>19</v>
      </c>
      <c r="D549" t="s">
        <v>1165</v>
      </c>
      <c r="E549">
        <v>3</v>
      </c>
      <c r="F549" t="s">
        <v>151</v>
      </c>
      <c r="G549" t="s">
        <v>1166</v>
      </c>
      <c r="H549" t="s">
        <v>84</v>
      </c>
      <c r="I549" t="s">
        <v>23</v>
      </c>
      <c r="J549" t="s">
        <v>208</v>
      </c>
      <c r="K549" t="s">
        <v>209</v>
      </c>
      <c r="L549" t="s">
        <v>121</v>
      </c>
      <c r="M549" t="s">
        <v>40</v>
      </c>
      <c r="N549" t="s">
        <v>74</v>
      </c>
      <c r="O549" t="s">
        <v>1168</v>
      </c>
      <c r="P549">
        <v>13.36</v>
      </c>
      <c r="Q549">
        <v>2</v>
      </c>
      <c r="R549">
        <v>0</v>
      </c>
      <c r="S549">
        <v>6.41</v>
      </c>
    </row>
    <row r="550" spans="1:19" x14ac:dyDescent="0.3">
      <c r="A550" t="s">
        <v>646</v>
      </c>
      <c r="B550">
        <v>2012</v>
      </c>
      <c r="C550" t="s">
        <v>19</v>
      </c>
      <c r="D550" t="s">
        <v>326</v>
      </c>
      <c r="E550">
        <v>2</v>
      </c>
      <c r="F550" t="s">
        <v>20</v>
      </c>
      <c r="G550" t="s">
        <v>869</v>
      </c>
      <c r="H550" t="s">
        <v>36</v>
      </c>
      <c r="I550" t="s">
        <v>23</v>
      </c>
      <c r="J550" t="s">
        <v>232</v>
      </c>
      <c r="K550" t="s">
        <v>166</v>
      </c>
      <c r="L550" t="s">
        <v>87</v>
      </c>
      <c r="M550" t="s">
        <v>40</v>
      </c>
      <c r="N550" t="s">
        <v>51</v>
      </c>
      <c r="O550" t="s">
        <v>217</v>
      </c>
      <c r="P550">
        <v>250.27</v>
      </c>
      <c r="Q550">
        <v>9</v>
      </c>
      <c r="R550">
        <v>0.2</v>
      </c>
      <c r="S550">
        <v>15.64</v>
      </c>
    </row>
    <row r="551" spans="1:19" x14ac:dyDescent="0.3">
      <c r="A551" t="s">
        <v>646</v>
      </c>
      <c r="B551">
        <v>2012</v>
      </c>
      <c r="C551" t="s">
        <v>19</v>
      </c>
      <c r="D551" t="s">
        <v>326</v>
      </c>
      <c r="E551">
        <v>2</v>
      </c>
      <c r="F551" t="s">
        <v>20</v>
      </c>
      <c r="G551" t="s">
        <v>869</v>
      </c>
      <c r="H551" t="s">
        <v>36</v>
      </c>
      <c r="I551" t="s">
        <v>23</v>
      </c>
      <c r="J551" t="s">
        <v>232</v>
      </c>
      <c r="K551" t="s">
        <v>166</v>
      </c>
      <c r="L551" t="s">
        <v>87</v>
      </c>
      <c r="M551" t="s">
        <v>40</v>
      </c>
      <c r="N551" t="s">
        <v>62</v>
      </c>
      <c r="O551" t="s">
        <v>308</v>
      </c>
      <c r="P551">
        <v>11.36</v>
      </c>
      <c r="Q551">
        <v>3</v>
      </c>
      <c r="R551">
        <v>0.8</v>
      </c>
      <c r="S551">
        <v>-17.05</v>
      </c>
    </row>
    <row r="552" spans="1:19" x14ac:dyDescent="0.3">
      <c r="A552" t="s">
        <v>646</v>
      </c>
      <c r="B552">
        <v>2012</v>
      </c>
      <c r="C552" t="s">
        <v>19</v>
      </c>
      <c r="D552" t="s">
        <v>326</v>
      </c>
      <c r="E552">
        <v>2</v>
      </c>
      <c r="F552" t="s">
        <v>20</v>
      </c>
      <c r="G552" t="s">
        <v>869</v>
      </c>
      <c r="H552" t="s">
        <v>36</v>
      </c>
      <c r="I552" t="s">
        <v>23</v>
      </c>
      <c r="J552" t="s">
        <v>232</v>
      </c>
      <c r="K552" t="s">
        <v>166</v>
      </c>
      <c r="L552" t="s">
        <v>87</v>
      </c>
      <c r="M552" t="s">
        <v>40</v>
      </c>
      <c r="N552" t="s">
        <v>402</v>
      </c>
      <c r="O552" t="s">
        <v>150</v>
      </c>
      <c r="P552">
        <v>8.7200000000000006</v>
      </c>
      <c r="Q552">
        <v>5</v>
      </c>
      <c r="R552">
        <v>0.2</v>
      </c>
      <c r="S552">
        <v>-1.74</v>
      </c>
    </row>
    <row r="553" spans="1:19" x14ac:dyDescent="0.3">
      <c r="A553" t="s">
        <v>955</v>
      </c>
      <c r="B553">
        <v>2013</v>
      </c>
      <c r="C553" t="s">
        <v>69</v>
      </c>
      <c r="D553" t="s">
        <v>1169</v>
      </c>
      <c r="E553">
        <v>2</v>
      </c>
      <c r="F553" t="s">
        <v>20</v>
      </c>
      <c r="G553" t="s">
        <v>1170</v>
      </c>
      <c r="H553" t="s">
        <v>22</v>
      </c>
      <c r="I553" t="s">
        <v>23</v>
      </c>
      <c r="J553" t="s">
        <v>105</v>
      </c>
      <c r="K553" t="s">
        <v>38</v>
      </c>
      <c r="L553" t="s">
        <v>39</v>
      </c>
      <c r="M553" t="s">
        <v>27</v>
      </c>
      <c r="N553" t="s">
        <v>30</v>
      </c>
      <c r="O553" t="s">
        <v>1171</v>
      </c>
      <c r="P553">
        <v>1121.57</v>
      </c>
      <c r="Q553">
        <v>2</v>
      </c>
      <c r="R553">
        <v>0.2</v>
      </c>
      <c r="S553">
        <v>0</v>
      </c>
    </row>
    <row r="554" spans="1:19" x14ac:dyDescent="0.3">
      <c r="A554" s="1">
        <v>41982</v>
      </c>
      <c r="B554">
        <v>2014</v>
      </c>
      <c r="C554" t="s">
        <v>124</v>
      </c>
      <c r="D554" t="s">
        <v>1172</v>
      </c>
      <c r="E554">
        <v>1</v>
      </c>
      <c r="F554" t="s">
        <v>151</v>
      </c>
      <c r="G554" t="s">
        <v>355</v>
      </c>
      <c r="H554" t="s">
        <v>22</v>
      </c>
      <c r="I554" t="s">
        <v>23</v>
      </c>
      <c r="J554" t="s">
        <v>965</v>
      </c>
      <c r="K554" t="s">
        <v>48</v>
      </c>
      <c r="L554" t="s">
        <v>26</v>
      </c>
      <c r="M554" t="s">
        <v>27</v>
      </c>
      <c r="N554" t="s">
        <v>55</v>
      </c>
      <c r="O554" t="s">
        <v>1173</v>
      </c>
      <c r="P554">
        <v>34.5</v>
      </c>
      <c r="Q554">
        <v>1</v>
      </c>
      <c r="R554">
        <v>0.2</v>
      </c>
      <c r="S554">
        <v>6.04</v>
      </c>
    </row>
    <row r="555" spans="1:19" x14ac:dyDescent="0.3">
      <c r="A555" t="s">
        <v>1174</v>
      </c>
      <c r="B555">
        <v>2014</v>
      </c>
      <c r="C555" t="s">
        <v>19</v>
      </c>
      <c r="D555" t="s">
        <v>334</v>
      </c>
      <c r="E555">
        <v>4</v>
      </c>
      <c r="F555" t="s">
        <v>45</v>
      </c>
      <c r="G555" t="s">
        <v>1175</v>
      </c>
      <c r="H555" t="s">
        <v>22</v>
      </c>
      <c r="I555" t="s">
        <v>23</v>
      </c>
      <c r="J555" t="s">
        <v>149</v>
      </c>
      <c r="K555" t="s">
        <v>86</v>
      </c>
      <c r="L555" t="s">
        <v>87</v>
      </c>
      <c r="M555" t="s">
        <v>40</v>
      </c>
      <c r="N555" t="s">
        <v>210</v>
      </c>
      <c r="O555" t="s">
        <v>1176</v>
      </c>
      <c r="P555">
        <v>10.82</v>
      </c>
      <c r="Q555">
        <v>3</v>
      </c>
      <c r="R555">
        <v>0.2</v>
      </c>
      <c r="S555">
        <v>2.57</v>
      </c>
    </row>
    <row r="556" spans="1:19" x14ac:dyDescent="0.3">
      <c r="A556" t="s">
        <v>541</v>
      </c>
      <c r="B556">
        <v>2014</v>
      </c>
      <c r="C556" t="s">
        <v>33</v>
      </c>
      <c r="D556" s="1">
        <v>41736</v>
      </c>
      <c r="E556">
        <v>4</v>
      </c>
      <c r="F556" t="s">
        <v>20</v>
      </c>
      <c r="G556" t="s">
        <v>869</v>
      </c>
      <c r="H556" t="s">
        <v>36</v>
      </c>
      <c r="I556" t="s">
        <v>23</v>
      </c>
      <c r="J556" t="s">
        <v>1177</v>
      </c>
      <c r="K556" t="s">
        <v>38</v>
      </c>
      <c r="L556" t="s">
        <v>39</v>
      </c>
      <c r="M556" t="s">
        <v>40</v>
      </c>
      <c r="N556" t="s">
        <v>51</v>
      </c>
      <c r="O556" t="s">
        <v>1178</v>
      </c>
      <c r="P556">
        <v>1295.78</v>
      </c>
      <c r="Q556">
        <v>2</v>
      </c>
      <c r="R556">
        <v>0</v>
      </c>
      <c r="S556">
        <v>310.99</v>
      </c>
    </row>
    <row r="557" spans="1:19" x14ac:dyDescent="0.3">
      <c r="A557" s="1">
        <v>40605</v>
      </c>
      <c r="B557">
        <v>2011</v>
      </c>
      <c r="C557" t="s">
        <v>177</v>
      </c>
      <c r="D557" s="1">
        <v>40727</v>
      </c>
      <c r="E557">
        <v>4</v>
      </c>
      <c r="F557" t="s">
        <v>20</v>
      </c>
      <c r="G557" t="s">
        <v>1179</v>
      </c>
      <c r="H557" t="s">
        <v>22</v>
      </c>
      <c r="I557" t="s">
        <v>23</v>
      </c>
      <c r="J557" t="s">
        <v>368</v>
      </c>
      <c r="K557" t="s">
        <v>73</v>
      </c>
      <c r="L557" t="s">
        <v>26</v>
      </c>
      <c r="M557" t="s">
        <v>40</v>
      </c>
      <c r="N557" t="s">
        <v>57</v>
      </c>
      <c r="O557" t="s">
        <v>1180</v>
      </c>
      <c r="P557">
        <v>19.46</v>
      </c>
      <c r="Q557">
        <v>4</v>
      </c>
      <c r="R557">
        <v>0.2</v>
      </c>
      <c r="S557">
        <v>3.4</v>
      </c>
    </row>
    <row r="558" spans="1:19" x14ac:dyDescent="0.3">
      <c r="A558" s="1">
        <v>41584</v>
      </c>
      <c r="B558">
        <v>2013</v>
      </c>
      <c r="C558" t="s">
        <v>33</v>
      </c>
      <c r="D558" t="s">
        <v>264</v>
      </c>
      <c r="E558">
        <v>5</v>
      </c>
      <c r="F558" t="s">
        <v>45</v>
      </c>
      <c r="G558" t="s">
        <v>1181</v>
      </c>
      <c r="H558" t="s">
        <v>22</v>
      </c>
      <c r="I558" t="s">
        <v>23</v>
      </c>
      <c r="J558" t="s">
        <v>37</v>
      </c>
      <c r="K558" t="s">
        <v>38</v>
      </c>
      <c r="L558" t="s">
        <v>39</v>
      </c>
      <c r="M558" t="s">
        <v>40</v>
      </c>
      <c r="N558" t="s">
        <v>41</v>
      </c>
      <c r="O558" t="s">
        <v>1182</v>
      </c>
      <c r="P558">
        <v>20.7</v>
      </c>
      <c r="Q558">
        <v>2</v>
      </c>
      <c r="R558">
        <v>0</v>
      </c>
      <c r="S558">
        <v>9.94</v>
      </c>
    </row>
    <row r="559" spans="1:19" x14ac:dyDescent="0.3">
      <c r="A559" s="1">
        <v>41584</v>
      </c>
      <c r="B559">
        <v>2013</v>
      </c>
      <c r="C559" t="s">
        <v>33</v>
      </c>
      <c r="D559" t="s">
        <v>264</v>
      </c>
      <c r="E559">
        <v>5</v>
      </c>
      <c r="F559" t="s">
        <v>45</v>
      </c>
      <c r="G559" t="s">
        <v>1181</v>
      </c>
      <c r="H559" t="s">
        <v>22</v>
      </c>
      <c r="I559" t="s">
        <v>23</v>
      </c>
      <c r="J559" t="s">
        <v>37</v>
      </c>
      <c r="K559" t="s">
        <v>38</v>
      </c>
      <c r="L559" t="s">
        <v>39</v>
      </c>
      <c r="M559" t="s">
        <v>27</v>
      </c>
      <c r="N559" t="s">
        <v>49</v>
      </c>
      <c r="O559" t="s">
        <v>1183</v>
      </c>
      <c r="P559">
        <v>1335.68</v>
      </c>
      <c r="Q559">
        <v>4</v>
      </c>
      <c r="R559">
        <v>0.2</v>
      </c>
      <c r="S559">
        <v>-217.05</v>
      </c>
    </row>
    <row r="560" spans="1:19" x14ac:dyDescent="0.3">
      <c r="A560" s="1">
        <v>41584</v>
      </c>
      <c r="B560">
        <v>2013</v>
      </c>
      <c r="C560" t="s">
        <v>33</v>
      </c>
      <c r="D560" t="s">
        <v>264</v>
      </c>
      <c r="E560">
        <v>5</v>
      </c>
      <c r="F560" t="s">
        <v>45</v>
      </c>
      <c r="G560" t="s">
        <v>1181</v>
      </c>
      <c r="H560" t="s">
        <v>22</v>
      </c>
      <c r="I560" t="s">
        <v>23</v>
      </c>
      <c r="J560" t="s">
        <v>37</v>
      </c>
      <c r="K560" t="s">
        <v>38</v>
      </c>
      <c r="L560" t="s">
        <v>39</v>
      </c>
      <c r="M560" t="s">
        <v>40</v>
      </c>
      <c r="N560" t="s">
        <v>74</v>
      </c>
      <c r="O560" t="s">
        <v>1184</v>
      </c>
      <c r="P560">
        <v>32.4</v>
      </c>
      <c r="Q560">
        <v>5</v>
      </c>
      <c r="R560">
        <v>0</v>
      </c>
      <c r="S560">
        <v>15.55</v>
      </c>
    </row>
    <row r="561" spans="1:19" x14ac:dyDescent="0.3">
      <c r="A561" t="s">
        <v>1185</v>
      </c>
      <c r="B561">
        <v>2014</v>
      </c>
      <c r="C561" t="s">
        <v>19</v>
      </c>
      <c r="D561" t="s">
        <v>1165</v>
      </c>
      <c r="E561">
        <v>2</v>
      </c>
      <c r="F561" t="s">
        <v>20</v>
      </c>
      <c r="G561" t="s">
        <v>1186</v>
      </c>
      <c r="H561" t="s">
        <v>22</v>
      </c>
      <c r="I561" t="s">
        <v>23</v>
      </c>
      <c r="J561" t="s">
        <v>105</v>
      </c>
      <c r="K561" t="s">
        <v>38</v>
      </c>
      <c r="L561" t="s">
        <v>39</v>
      </c>
      <c r="M561" t="s">
        <v>27</v>
      </c>
      <c r="N561" t="s">
        <v>55</v>
      </c>
      <c r="O561" t="s">
        <v>948</v>
      </c>
      <c r="P561">
        <v>42.6</v>
      </c>
      <c r="Q561">
        <v>3</v>
      </c>
      <c r="R561">
        <v>0</v>
      </c>
      <c r="S561">
        <v>16.61</v>
      </c>
    </row>
    <row r="562" spans="1:19" x14ac:dyDescent="0.3">
      <c r="A562" t="s">
        <v>1185</v>
      </c>
      <c r="B562">
        <v>2014</v>
      </c>
      <c r="C562" t="s">
        <v>19</v>
      </c>
      <c r="D562" t="s">
        <v>1165</v>
      </c>
      <c r="E562">
        <v>2</v>
      </c>
      <c r="F562" t="s">
        <v>20</v>
      </c>
      <c r="G562" t="s">
        <v>1186</v>
      </c>
      <c r="H562" t="s">
        <v>22</v>
      </c>
      <c r="I562" t="s">
        <v>23</v>
      </c>
      <c r="J562" t="s">
        <v>105</v>
      </c>
      <c r="K562" t="s">
        <v>38</v>
      </c>
      <c r="L562" t="s">
        <v>39</v>
      </c>
      <c r="M562" t="s">
        <v>40</v>
      </c>
      <c r="N562" t="s">
        <v>62</v>
      </c>
      <c r="O562" t="s">
        <v>1187</v>
      </c>
      <c r="P562">
        <v>84.06</v>
      </c>
      <c r="Q562">
        <v>7</v>
      </c>
      <c r="R562">
        <v>0.2</v>
      </c>
      <c r="S562">
        <v>27.32</v>
      </c>
    </row>
    <row r="563" spans="1:19" x14ac:dyDescent="0.3">
      <c r="A563" t="s">
        <v>476</v>
      </c>
      <c r="B563">
        <v>2011</v>
      </c>
      <c r="C563" t="s">
        <v>124</v>
      </c>
      <c r="D563" t="s">
        <v>1188</v>
      </c>
      <c r="E563">
        <v>4</v>
      </c>
      <c r="F563" t="s">
        <v>20</v>
      </c>
      <c r="G563" t="s">
        <v>1189</v>
      </c>
      <c r="H563" t="s">
        <v>22</v>
      </c>
      <c r="I563" t="s">
        <v>23</v>
      </c>
      <c r="J563" t="s">
        <v>601</v>
      </c>
      <c r="K563" t="s">
        <v>48</v>
      </c>
      <c r="L563" t="s">
        <v>26</v>
      </c>
      <c r="M563" t="s">
        <v>40</v>
      </c>
      <c r="N563" t="s">
        <v>64</v>
      </c>
      <c r="O563" t="s">
        <v>1190</v>
      </c>
      <c r="P563">
        <v>13</v>
      </c>
      <c r="Q563">
        <v>5</v>
      </c>
      <c r="R563">
        <v>0.2</v>
      </c>
      <c r="S563">
        <v>1.3</v>
      </c>
    </row>
    <row r="564" spans="1:19" x14ac:dyDescent="0.3">
      <c r="A564" t="s">
        <v>476</v>
      </c>
      <c r="B564">
        <v>2011</v>
      </c>
      <c r="C564" t="s">
        <v>124</v>
      </c>
      <c r="D564" t="s">
        <v>1188</v>
      </c>
      <c r="E564">
        <v>4</v>
      </c>
      <c r="F564" t="s">
        <v>20</v>
      </c>
      <c r="G564" t="s">
        <v>1189</v>
      </c>
      <c r="H564" t="s">
        <v>22</v>
      </c>
      <c r="I564" t="s">
        <v>23</v>
      </c>
      <c r="J564" t="s">
        <v>601</v>
      </c>
      <c r="K564" t="s">
        <v>48</v>
      </c>
      <c r="L564" t="s">
        <v>26</v>
      </c>
      <c r="M564" t="s">
        <v>27</v>
      </c>
      <c r="N564" t="s">
        <v>55</v>
      </c>
      <c r="O564" t="s">
        <v>1191</v>
      </c>
      <c r="P564">
        <v>13.13</v>
      </c>
      <c r="Q564">
        <v>3</v>
      </c>
      <c r="R564">
        <v>0.2</v>
      </c>
      <c r="S564">
        <v>3.77</v>
      </c>
    </row>
    <row r="565" spans="1:19" x14ac:dyDescent="0.3">
      <c r="A565" s="1">
        <v>41102</v>
      </c>
      <c r="B565">
        <v>2012</v>
      </c>
      <c r="C565" t="s">
        <v>76</v>
      </c>
      <c r="D565" s="1">
        <v>41164</v>
      </c>
      <c r="E565">
        <v>2</v>
      </c>
      <c r="F565" t="s">
        <v>151</v>
      </c>
      <c r="G565" t="s">
        <v>1192</v>
      </c>
      <c r="H565" t="s">
        <v>22</v>
      </c>
      <c r="I565" t="s">
        <v>23</v>
      </c>
      <c r="J565" t="s">
        <v>78</v>
      </c>
      <c r="K565" t="s">
        <v>79</v>
      </c>
      <c r="L565" t="s">
        <v>39</v>
      </c>
      <c r="M565" t="s">
        <v>40</v>
      </c>
      <c r="N565" t="s">
        <v>210</v>
      </c>
      <c r="O565" t="s">
        <v>1193</v>
      </c>
      <c r="P565">
        <v>3.96</v>
      </c>
      <c r="Q565">
        <v>2</v>
      </c>
      <c r="R565">
        <v>0</v>
      </c>
      <c r="S565">
        <v>0</v>
      </c>
    </row>
    <row r="566" spans="1:19" x14ac:dyDescent="0.3">
      <c r="A566" s="1">
        <v>41102</v>
      </c>
      <c r="B566">
        <v>2012</v>
      </c>
      <c r="C566" t="s">
        <v>76</v>
      </c>
      <c r="D566" s="1">
        <v>41164</v>
      </c>
      <c r="E566">
        <v>2</v>
      </c>
      <c r="F566" t="s">
        <v>151</v>
      </c>
      <c r="G566" t="s">
        <v>1192</v>
      </c>
      <c r="H566" t="s">
        <v>22</v>
      </c>
      <c r="I566" t="s">
        <v>23</v>
      </c>
      <c r="J566" t="s">
        <v>78</v>
      </c>
      <c r="K566" t="s">
        <v>79</v>
      </c>
      <c r="L566" t="s">
        <v>39</v>
      </c>
      <c r="M566" t="s">
        <v>40</v>
      </c>
      <c r="N566" t="s">
        <v>41</v>
      </c>
      <c r="O566" t="s">
        <v>737</v>
      </c>
      <c r="P566">
        <v>2.61</v>
      </c>
      <c r="Q566">
        <v>1</v>
      </c>
      <c r="R566">
        <v>0</v>
      </c>
      <c r="S566">
        <v>1.2</v>
      </c>
    </row>
    <row r="567" spans="1:19" x14ac:dyDescent="0.3">
      <c r="A567" s="1">
        <v>41863</v>
      </c>
      <c r="B567">
        <v>2014</v>
      </c>
      <c r="C567" t="s">
        <v>76</v>
      </c>
      <c r="D567" s="1">
        <v>41955</v>
      </c>
      <c r="E567">
        <v>3</v>
      </c>
      <c r="F567" t="s">
        <v>151</v>
      </c>
      <c r="G567" t="s">
        <v>1194</v>
      </c>
      <c r="H567" t="s">
        <v>22</v>
      </c>
      <c r="I567" t="s">
        <v>23</v>
      </c>
      <c r="J567" t="s">
        <v>37</v>
      </c>
      <c r="K567" t="s">
        <v>38</v>
      </c>
      <c r="L567" t="s">
        <v>39</v>
      </c>
      <c r="M567" t="s">
        <v>59</v>
      </c>
      <c r="N567" t="s">
        <v>60</v>
      </c>
      <c r="O567" t="s">
        <v>1195</v>
      </c>
      <c r="P567">
        <v>374.38</v>
      </c>
      <c r="Q567">
        <v>3</v>
      </c>
      <c r="R567">
        <v>0.2</v>
      </c>
      <c r="S567">
        <v>46.8</v>
      </c>
    </row>
    <row r="568" spans="1:19" x14ac:dyDescent="0.3">
      <c r="A568" s="1">
        <v>41680</v>
      </c>
      <c r="B568">
        <v>2014</v>
      </c>
      <c r="C568" t="s">
        <v>43</v>
      </c>
      <c r="D568" s="1">
        <v>41892</v>
      </c>
      <c r="E568">
        <v>7</v>
      </c>
      <c r="F568" t="s">
        <v>45</v>
      </c>
      <c r="G568" t="s">
        <v>1196</v>
      </c>
      <c r="H568" t="s">
        <v>36</v>
      </c>
      <c r="I568" t="s">
        <v>23</v>
      </c>
      <c r="J568" t="s">
        <v>78</v>
      </c>
      <c r="K568" t="s">
        <v>79</v>
      </c>
      <c r="L568" t="s">
        <v>39</v>
      </c>
      <c r="M568" t="s">
        <v>40</v>
      </c>
      <c r="N568" t="s">
        <v>74</v>
      </c>
      <c r="O568" t="s">
        <v>1197</v>
      </c>
      <c r="P568">
        <v>91.84</v>
      </c>
      <c r="Q568">
        <v>8</v>
      </c>
      <c r="R568">
        <v>0</v>
      </c>
      <c r="S568">
        <v>45</v>
      </c>
    </row>
    <row r="569" spans="1:19" x14ac:dyDescent="0.3">
      <c r="A569" s="1">
        <v>41680</v>
      </c>
      <c r="B569">
        <v>2014</v>
      </c>
      <c r="C569" t="s">
        <v>43</v>
      </c>
      <c r="D569" s="1">
        <v>41892</v>
      </c>
      <c r="E569">
        <v>7</v>
      </c>
      <c r="F569" t="s">
        <v>45</v>
      </c>
      <c r="G569" t="s">
        <v>1196</v>
      </c>
      <c r="H569" t="s">
        <v>36</v>
      </c>
      <c r="I569" t="s">
        <v>23</v>
      </c>
      <c r="J569" t="s">
        <v>78</v>
      </c>
      <c r="K569" t="s">
        <v>79</v>
      </c>
      <c r="L569" t="s">
        <v>39</v>
      </c>
      <c r="M569" t="s">
        <v>40</v>
      </c>
      <c r="N569" t="s">
        <v>62</v>
      </c>
      <c r="O569" t="s">
        <v>1198</v>
      </c>
      <c r="P569">
        <v>81.09</v>
      </c>
      <c r="Q569">
        <v>7</v>
      </c>
      <c r="R569">
        <v>0.2</v>
      </c>
      <c r="S569">
        <v>27.37</v>
      </c>
    </row>
    <row r="570" spans="1:19" x14ac:dyDescent="0.3">
      <c r="A570" s="1">
        <v>41680</v>
      </c>
      <c r="B570">
        <v>2014</v>
      </c>
      <c r="C570" t="s">
        <v>43</v>
      </c>
      <c r="D570" s="1">
        <v>41892</v>
      </c>
      <c r="E570">
        <v>7</v>
      </c>
      <c r="F570" t="s">
        <v>45</v>
      </c>
      <c r="G570" t="s">
        <v>1196</v>
      </c>
      <c r="H570" t="s">
        <v>36</v>
      </c>
      <c r="I570" t="s">
        <v>23</v>
      </c>
      <c r="J570" t="s">
        <v>78</v>
      </c>
      <c r="K570" t="s">
        <v>79</v>
      </c>
      <c r="L570" t="s">
        <v>39</v>
      </c>
      <c r="M570" t="s">
        <v>40</v>
      </c>
      <c r="N570" t="s">
        <v>74</v>
      </c>
      <c r="O570" t="s">
        <v>1199</v>
      </c>
      <c r="P570">
        <v>19.440000000000001</v>
      </c>
      <c r="Q570">
        <v>3</v>
      </c>
      <c r="R570">
        <v>0</v>
      </c>
      <c r="S570">
        <v>9.33</v>
      </c>
    </row>
    <row r="571" spans="1:19" x14ac:dyDescent="0.3">
      <c r="A571" s="1">
        <v>41680</v>
      </c>
      <c r="B571">
        <v>2014</v>
      </c>
      <c r="C571" t="s">
        <v>43</v>
      </c>
      <c r="D571" s="1">
        <v>41892</v>
      </c>
      <c r="E571">
        <v>7</v>
      </c>
      <c r="F571" t="s">
        <v>45</v>
      </c>
      <c r="G571" t="s">
        <v>1196</v>
      </c>
      <c r="H571" t="s">
        <v>36</v>
      </c>
      <c r="I571" t="s">
        <v>23</v>
      </c>
      <c r="J571" t="s">
        <v>78</v>
      </c>
      <c r="K571" t="s">
        <v>79</v>
      </c>
      <c r="L571" t="s">
        <v>39</v>
      </c>
      <c r="M571" t="s">
        <v>27</v>
      </c>
      <c r="N571" t="s">
        <v>30</v>
      </c>
      <c r="O571" t="s">
        <v>1200</v>
      </c>
      <c r="P571">
        <v>451.15</v>
      </c>
      <c r="Q571">
        <v>3</v>
      </c>
      <c r="R571">
        <v>0.2</v>
      </c>
      <c r="S571">
        <v>0</v>
      </c>
    </row>
    <row r="572" spans="1:19" x14ac:dyDescent="0.3">
      <c r="A572" t="s">
        <v>663</v>
      </c>
      <c r="B572">
        <v>2014</v>
      </c>
      <c r="C572" t="s">
        <v>76</v>
      </c>
      <c r="D572" s="1">
        <v>42125</v>
      </c>
      <c r="E572">
        <v>7</v>
      </c>
      <c r="F572" t="s">
        <v>45</v>
      </c>
      <c r="G572" t="s">
        <v>1201</v>
      </c>
      <c r="H572" t="s">
        <v>22</v>
      </c>
      <c r="I572" t="s">
        <v>23</v>
      </c>
      <c r="J572" t="s">
        <v>208</v>
      </c>
      <c r="K572" t="s">
        <v>209</v>
      </c>
      <c r="L572" t="s">
        <v>121</v>
      </c>
      <c r="M572" t="s">
        <v>40</v>
      </c>
      <c r="N572" t="s">
        <v>41</v>
      </c>
      <c r="O572" t="s">
        <v>1182</v>
      </c>
      <c r="P572">
        <v>72.45</v>
      </c>
      <c r="Q572">
        <v>7</v>
      </c>
      <c r="R572">
        <v>0</v>
      </c>
      <c r="S572">
        <v>34.78</v>
      </c>
    </row>
    <row r="573" spans="1:19" x14ac:dyDescent="0.3">
      <c r="A573" t="s">
        <v>663</v>
      </c>
      <c r="B573">
        <v>2014</v>
      </c>
      <c r="C573" t="s">
        <v>76</v>
      </c>
      <c r="D573" s="1">
        <v>42125</v>
      </c>
      <c r="E573">
        <v>7</v>
      </c>
      <c r="F573" t="s">
        <v>45</v>
      </c>
      <c r="G573" t="s">
        <v>1201</v>
      </c>
      <c r="H573" t="s">
        <v>22</v>
      </c>
      <c r="I573" t="s">
        <v>23</v>
      </c>
      <c r="J573" t="s">
        <v>208</v>
      </c>
      <c r="K573" t="s">
        <v>209</v>
      </c>
      <c r="L573" t="s">
        <v>121</v>
      </c>
      <c r="M573" t="s">
        <v>40</v>
      </c>
      <c r="N573" t="s">
        <v>210</v>
      </c>
      <c r="O573" t="s">
        <v>581</v>
      </c>
      <c r="P573">
        <v>13.96</v>
      </c>
      <c r="Q573">
        <v>4</v>
      </c>
      <c r="R573">
        <v>0</v>
      </c>
      <c r="S573">
        <v>6.42</v>
      </c>
    </row>
    <row r="574" spans="1:19" x14ac:dyDescent="0.3">
      <c r="A574" t="s">
        <v>663</v>
      </c>
      <c r="B574">
        <v>2014</v>
      </c>
      <c r="C574" t="s">
        <v>76</v>
      </c>
      <c r="D574" s="1">
        <v>42125</v>
      </c>
      <c r="E574">
        <v>7</v>
      </c>
      <c r="F574" t="s">
        <v>45</v>
      </c>
      <c r="G574" t="s">
        <v>1201</v>
      </c>
      <c r="H574" t="s">
        <v>22</v>
      </c>
      <c r="I574" t="s">
        <v>23</v>
      </c>
      <c r="J574" t="s">
        <v>208</v>
      </c>
      <c r="K574" t="s">
        <v>209</v>
      </c>
      <c r="L574" t="s">
        <v>121</v>
      </c>
      <c r="M574" t="s">
        <v>40</v>
      </c>
      <c r="N574" t="s">
        <v>62</v>
      </c>
      <c r="O574" t="s">
        <v>779</v>
      </c>
      <c r="P574">
        <v>33.26</v>
      </c>
      <c r="Q574">
        <v>7</v>
      </c>
      <c r="R574">
        <v>0.2</v>
      </c>
      <c r="S574">
        <v>11.23</v>
      </c>
    </row>
    <row r="575" spans="1:19" x14ac:dyDescent="0.3">
      <c r="A575" t="s">
        <v>663</v>
      </c>
      <c r="B575">
        <v>2014</v>
      </c>
      <c r="C575" t="s">
        <v>76</v>
      </c>
      <c r="D575" s="1">
        <v>42125</v>
      </c>
      <c r="E575">
        <v>7</v>
      </c>
      <c r="F575" t="s">
        <v>45</v>
      </c>
      <c r="G575" t="s">
        <v>1201</v>
      </c>
      <c r="H575" t="s">
        <v>22</v>
      </c>
      <c r="I575" t="s">
        <v>23</v>
      </c>
      <c r="J575" t="s">
        <v>208</v>
      </c>
      <c r="K575" t="s">
        <v>209</v>
      </c>
      <c r="L575" t="s">
        <v>121</v>
      </c>
      <c r="M575" t="s">
        <v>59</v>
      </c>
      <c r="N575" t="s">
        <v>60</v>
      </c>
      <c r="O575" t="s">
        <v>1202</v>
      </c>
      <c r="P575">
        <v>14.85</v>
      </c>
      <c r="Q575">
        <v>3</v>
      </c>
      <c r="R575">
        <v>0</v>
      </c>
      <c r="S575">
        <v>4.01</v>
      </c>
    </row>
    <row r="576" spans="1:19" x14ac:dyDescent="0.3">
      <c r="A576" s="1">
        <v>41375</v>
      </c>
      <c r="B576">
        <v>2013</v>
      </c>
      <c r="C576" t="s">
        <v>19</v>
      </c>
      <c r="D576" s="1">
        <v>41497</v>
      </c>
      <c r="E576">
        <v>4</v>
      </c>
      <c r="F576" t="s">
        <v>45</v>
      </c>
      <c r="G576" t="s">
        <v>1203</v>
      </c>
      <c r="H576" t="s">
        <v>22</v>
      </c>
      <c r="I576" t="s">
        <v>23</v>
      </c>
      <c r="J576" t="s">
        <v>1204</v>
      </c>
      <c r="K576" t="s">
        <v>79</v>
      </c>
      <c r="L576" t="s">
        <v>39</v>
      </c>
      <c r="M576" t="s">
        <v>40</v>
      </c>
      <c r="N576" t="s">
        <v>57</v>
      </c>
      <c r="O576" t="s">
        <v>1205</v>
      </c>
      <c r="P576">
        <v>8.82</v>
      </c>
      <c r="Q576">
        <v>3</v>
      </c>
      <c r="R576">
        <v>0</v>
      </c>
      <c r="S576">
        <v>2.38</v>
      </c>
    </row>
    <row r="577" spans="1:19" x14ac:dyDescent="0.3">
      <c r="A577" t="s">
        <v>1206</v>
      </c>
      <c r="B577">
        <v>2012</v>
      </c>
      <c r="C577" t="s">
        <v>124</v>
      </c>
      <c r="D577" t="s">
        <v>1207</v>
      </c>
      <c r="E577">
        <v>4</v>
      </c>
      <c r="F577" t="s">
        <v>20</v>
      </c>
      <c r="G577" t="s">
        <v>1208</v>
      </c>
      <c r="H577" t="s">
        <v>22</v>
      </c>
      <c r="I577" t="s">
        <v>23</v>
      </c>
      <c r="J577" t="s">
        <v>755</v>
      </c>
      <c r="K577" t="s">
        <v>38</v>
      </c>
      <c r="L577" t="s">
        <v>39</v>
      </c>
      <c r="M577" t="s">
        <v>40</v>
      </c>
      <c r="N577" t="s">
        <v>74</v>
      </c>
      <c r="O577" t="s">
        <v>1197</v>
      </c>
      <c r="P577">
        <v>160.72</v>
      </c>
      <c r="Q577">
        <v>14</v>
      </c>
      <c r="R577">
        <v>0</v>
      </c>
      <c r="S577">
        <v>78.75</v>
      </c>
    </row>
    <row r="578" spans="1:19" x14ac:dyDescent="0.3">
      <c r="A578" t="s">
        <v>1206</v>
      </c>
      <c r="B578">
        <v>2012</v>
      </c>
      <c r="C578" t="s">
        <v>124</v>
      </c>
      <c r="D578" t="s">
        <v>1207</v>
      </c>
      <c r="E578">
        <v>4</v>
      </c>
      <c r="F578" t="s">
        <v>20</v>
      </c>
      <c r="G578" t="s">
        <v>1208</v>
      </c>
      <c r="H578" t="s">
        <v>22</v>
      </c>
      <c r="I578" t="s">
        <v>23</v>
      </c>
      <c r="J578" t="s">
        <v>755</v>
      </c>
      <c r="K578" t="s">
        <v>38</v>
      </c>
      <c r="L578" t="s">
        <v>39</v>
      </c>
      <c r="M578" t="s">
        <v>40</v>
      </c>
      <c r="N578" t="s">
        <v>74</v>
      </c>
      <c r="O578" t="s">
        <v>1209</v>
      </c>
      <c r="P578">
        <v>19.920000000000002</v>
      </c>
      <c r="Q578">
        <v>4</v>
      </c>
      <c r="R578">
        <v>0</v>
      </c>
      <c r="S578">
        <v>9.76</v>
      </c>
    </row>
    <row r="579" spans="1:19" x14ac:dyDescent="0.3">
      <c r="A579" t="s">
        <v>1206</v>
      </c>
      <c r="B579">
        <v>2012</v>
      </c>
      <c r="C579" t="s">
        <v>124</v>
      </c>
      <c r="D579" t="s">
        <v>1207</v>
      </c>
      <c r="E579">
        <v>4</v>
      </c>
      <c r="F579" t="s">
        <v>20</v>
      </c>
      <c r="G579" t="s">
        <v>1208</v>
      </c>
      <c r="H579" t="s">
        <v>22</v>
      </c>
      <c r="I579" t="s">
        <v>23</v>
      </c>
      <c r="J579" t="s">
        <v>755</v>
      </c>
      <c r="K579" t="s">
        <v>38</v>
      </c>
      <c r="L579" t="s">
        <v>39</v>
      </c>
      <c r="M579" t="s">
        <v>40</v>
      </c>
      <c r="N579" t="s">
        <v>402</v>
      </c>
      <c r="O579" t="s">
        <v>1210</v>
      </c>
      <c r="P579">
        <v>7.3</v>
      </c>
      <c r="Q579">
        <v>2</v>
      </c>
      <c r="R579">
        <v>0</v>
      </c>
      <c r="S579">
        <v>2.19</v>
      </c>
    </row>
    <row r="580" spans="1:19" x14ac:dyDescent="0.3">
      <c r="A580" t="s">
        <v>1211</v>
      </c>
      <c r="B580">
        <v>2014</v>
      </c>
      <c r="C580" t="s">
        <v>116</v>
      </c>
      <c r="D580" t="s">
        <v>1212</v>
      </c>
      <c r="E580">
        <v>6</v>
      </c>
      <c r="F580" t="s">
        <v>45</v>
      </c>
      <c r="G580" t="s">
        <v>1213</v>
      </c>
      <c r="H580" t="s">
        <v>22</v>
      </c>
      <c r="I580" t="s">
        <v>23</v>
      </c>
      <c r="J580" t="s">
        <v>232</v>
      </c>
      <c r="K580" t="s">
        <v>166</v>
      </c>
      <c r="L580" t="s">
        <v>87</v>
      </c>
      <c r="M580" t="s">
        <v>40</v>
      </c>
      <c r="N580" t="s">
        <v>51</v>
      </c>
      <c r="O580" t="s">
        <v>385</v>
      </c>
      <c r="P580">
        <v>69.709999999999994</v>
      </c>
      <c r="Q580">
        <v>2</v>
      </c>
      <c r="R580">
        <v>0.2</v>
      </c>
      <c r="S580">
        <v>8.7100000000000009</v>
      </c>
    </row>
    <row r="581" spans="1:19" x14ac:dyDescent="0.3">
      <c r="A581" t="s">
        <v>1211</v>
      </c>
      <c r="B581">
        <v>2014</v>
      </c>
      <c r="C581" t="s">
        <v>116</v>
      </c>
      <c r="D581" t="s">
        <v>1212</v>
      </c>
      <c r="E581">
        <v>6</v>
      </c>
      <c r="F581" t="s">
        <v>45</v>
      </c>
      <c r="G581" t="s">
        <v>1213</v>
      </c>
      <c r="H581" t="s">
        <v>22</v>
      </c>
      <c r="I581" t="s">
        <v>23</v>
      </c>
      <c r="J581" t="s">
        <v>232</v>
      </c>
      <c r="K581" t="s">
        <v>166</v>
      </c>
      <c r="L581" t="s">
        <v>87</v>
      </c>
      <c r="M581" t="s">
        <v>27</v>
      </c>
      <c r="N581" t="s">
        <v>55</v>
      </c>
      <c r="O581" t="s">
        <v>1214</v>
      </c>
      <c r="P581">
        <v>8.7899999999999991</v>
      </c>
      <c r="Q581">
        <v>1</v>
      </c>
      <c r="R581">
        <v>0.6</v>
      </c>
      <c r="S581">
        <v>-5.71</v>
      </c>
    </row>
    <row r="582" spans="1:19" x14ac:dyDescent="0.3">
      <c r="A582" s="1">
        <v>41191</v>
      </c>
      <c r="B582">
        <v>2012</v>
      </c>
      <c r="C582" t="s">
        <v>124</v>
      </c>
      <c r="D582" t="s">
        <v>1215</v>
      </c>
      <c r="E582">
        <v>4</v>
      </c>
      <c r="F582" t="s">
        <v>45</v>
      </c>
      <c r="G582" t="s">
        <v>1216</v>
      </c>
      <c r="H582" t="s">
        <v>22</v>
      </c>
      <c r="I582" t="s">
        <v>23</v>
      </c>
      <c r="J582" t="s">
        <v>37</v>
      </c>
      <c r="K582" t="s">
        <v>38</v>
      </c>
      <c r="L582" t="s">
        <v>39</v>
      </c>
      <c r="M582" t="s">
        <v>40</v>
      </c>
      <c r="N582" t="s">
        <v>402</v>
      </c>
      <c r="O582" t="s">
        <v>1217</v>
      </c>
      <c r="P582">
        <v>51.52</v>
      </c>
      <c r="Q582">
        <v>4</v>
      </c>
      <c r="R582">
        <v>0</v>
      </c>
      <c r="S582">
        <v>1.55</v>
      </c>
    </row>
    <row r="583" spans="1:19" x14ac:dyDescent="0.3">
      <c r="A583" s="1">
        <v>41682</v>
      </c>
      <c r="B583">
        <v>2014</v>
      </c>
      <c r="C583" t="s">
        <v>76</v>
      </c>
      <c r="D583" s="1">
        <v>41802</v>
      </c>
      <c r="E583">
        <v>4</v>
      </c>
      <c r="F583" t="s">
        <v>45</v>
      </c>
      <c r="G583" t="s">
        <v>1218</v>
      </c>
      <c r="H583" t="s">
        <v>22</v>
      </c>
      <c r="I583" t="s">
        <v>23</v>
      </c>
      <c r="J583" t="s">
        <v>546</v>
      </c>
      <c r="K583" t="s">
        <v>329</v>
      </c>
      <c r="L583" t="s">
        <v>39</v>
      </c>
      <c r="M583" t="s">
        <v>59</v>
      </c>
      <c r="N583" t="s">
        <v>60</v>
      </c>
      <c r="O583" t="s">
        <v>154</v>
      </c>
      <c r="P583">
        <v>470.38</v>
      </c>
      <c r="Q583">
        <v>3</v>
      </c>
      <c r="R583">
        <v>0.2</v>
      </c>
      <c r="S583">
        <v>52.92</v>
      </c>
    </row>
    <row r="584" spans="1:19" x14ac:dyDescent="0.3">
      <c r="A584" s="1">
        <v>41682</v>
      </c>
      <c r="B584">
        <v>2014</v>
      </c>
      <c r="C584" t="s">
        <v>76</v>
      </c>
      <c r="D584" s="1">
        <v>41802</v>
      </c>
      <c r="E584">
        <v>4</v>
      </c>
      <c r="F584" t="s">
        <v>45</v>
      </c>
      <c r="G584" t="s">
        <v>1218</v>
      </c>
      <c r="H584" t="s">
        <v>22</v>
      </c>
      <c r="I584" t="s">
        <v>23</v>
      </c>
      <c r="J584" t="s">
        <v>546</v>
      </c>
      <c r="K584" t="s">
        <v>329</v>
      </c>
      <c r="L584" t="s">
        <v>39</v>
      </c>
      <c r="M584" t="s">
        <v>59</v>
      </c>
      <c r="N584" t="s">
        <v>60</v>
      </c>
      <c r="O584" t="s">
        <v>1219</v>
      </c>
      <c r="P584">
        <v>105.58</v>
      </c>
      <c r="Q584">
        <v>2</v>
      </c>
      <c r="R584">
        <v>0.2</v>
      </c>
      <c r="S584">
        <v>9.24</v>
      </c>
    </row>
    <row r="585" spans="1:19" x14ac:dyDescent="0.3">
      <c r="A585" s="1">
        <v>41682</v>
      </c>
      <c r="B585">
        <v>2014</v>
      </c>
      <c r="C585" t="s">
        <v>76</v>
      </c>
      <c r="D585" s="1">
        <v>41802</v>
      </c>
      <c r="E585">
        <v>4</v>
      </c>
      <c r="F585" t="s">
        <v>45</v>
      </c>
      <c r="G585" t="s">
        <v>1218</v>
      </c>
      <c r="H585" t="s">
        <v>22</v>
      </c>
      <c r="I585" t="s">
        <v>23</v>
      </c>
      <c r="J585" t="s">
        <v>546</v>
      </c>
      <c r="K585" t="s">
        <v>329</v>
      </c>
      <c r="L585" t="s">
        <v>39</v>
      </c>
      <c r="M585" t="s">
        <v>40</v>
      </c>
      <c r="N585" t="s">
        <v>64</v>
      </c>
      <c r="O585" t="s">
        <v>317</v>
      </c>
      <c r="P585">
        <v>31.15</v>
      </c>
      <c r="Q585">
        <v>3</v>
      </c>
      <c r="R585">
        <v>0.2</v>
      </c>
      <c r="S585">
        <v>3.5</v>
      </c>
    </row>
    <row r="586" spans="1:19" x14ac:dyDescent="0.3">
      <c r="A586" s="1">
        <v>41682</v>
      </c>
      <c r="B586">
        <v>2014</v>
      </c>
      <c r="C586" t="s">
        <v>76</v>
      </c>
      <c r="D586" s="1">
        <v>41802</v>
      </c>
      <c r="E586">
        <v>4</v>
      </c>
      <c r="F586" t="s">
        <v>45</v>
      </c>
      <c r="G586" t="s">
        <v>1218</v>
      </c>
      <c r="H586" t="s">
        <v>22</v>
      </c>
      <c r="I586" t="s">
        <v>23</v>
      </c>
      <c r="J586" t="s">
        <v>546</v>
      </c>
      <c r="K586" t="s">
        <v>329</v>
      </c>
      <c r="L586" t="s">
        <v>39</v>
      </c>
      <c r="M586" t="s">
        <v>40</v>
      </c>
      <c r="N586" t="s">
        <v>62</v>
      </c>
      <c r="O586" t="s">
        <v>1220</v>
      </c>
      <c r="P586">
        <v>6.78</v>
      </c>
      <c r="Q586">
        <v>7</v>
      </c>
      <c r="R586">
        <v>0.7</v>
      </c>
      <c r="S586">
        <v>-4.75</v>
      </c>
    </row>
    <row r="587" spans="1:19" x14ac:dyDescent="0.3">
      <c r="A587" s="1">
        <v>41682</v>
      </c>
      <c r="B587">
        <v>2014</v>
      </c>
      <c r="C587" t="s">
        <v>76</v>
      </c>
      <c r="D587" s="1">
        <v>41802</v>
      </c>
      <c r="E587">
        <v>4</v>
      </c>
      <c r="F587" t="s">
        <v>45</v>
      </c>
      <c r="G587" t="s">
        <v>1218</v>
      </c>
      <c r="H587" t="s">
        <v>22</v>
      </c>
      <c r="I587" t="s">
        <v>23</v>
      </c>
      <c r="J587" t="s">
        <v>546</v>
      </c>
      <c r="K587" t="s">
        <v>329</v>
      </c>
      <c r="L587" t="s">
        <v>39</v>
      </c>
      <c r="M587" t="s">
        <v>59</v>
      </c>
      <c r="N587" t="s">
        <v>60</v>
      </c>
      <c r="O587" t="s">
        <v>432</v>
      </c>
      <c r="P587">
        <v>406.37</v>
      </c>
      <c r="Q587">
        <v>4</v>
      </c>
      <c r="R587">
        <v>0.2</v>
      </c>
      <c r="S587">
        <v>30.48</v>
      </c>
    </row>
    <row r="588" spans="1:19" x14ac:dyDescent="0.3">
      <c r="A588" s="1">
        <v>40975</v>
      </c>
      <c r="B588">
        <v>2012</v>
      </c>
      <c r="C588" t="s">
        <v>116</v>
      </c>
      <c r="D588" s="1">
        <v>41159</v>
      </c>
      <c r="E588">
        <v>6</v>
      </c>
      <c r="F588" t="s">
        <v>45</v>
      </c>
      <c r="G588" t="s">
        <v>1221</v>
      </c>
      <c r="H588" t="s">
        <v>22</v>
      </c>
      <c r="I588" t="s">
        <v>23</v>
      </c>
      <c r="J588" t="s">
        <v>929</v>
      </c>
      <c r="K588" t="s">
        <v>25</v>
      </c>
      <c r="L588" t="s">
        <v>26</v>
      </c>
      <c r="M588" t="s">
        <v>27</v>
      </c>
      <c r="N588" t="s">
        <v>30</v>
      </c>
      <c r="O588" t="s">
        <v>918</v>
      </c>
      <c r="P588">
        <v>70.98</v>
      </c>
      <c r="Q588">
        <v>1</v>
      </c>
      <c r="R588">
        <v>0</v>
      </c>
      <c r="S588">
        <v>4.97</v>
      </c>
    </row>
    <row r="589" spans="1:19" x14ac:dyDescent="0.3">
      <c r="A589" s="1">
        <v>40975</v>
      </c>
      <c r="B589">
        <v>2012</v>
      </c>
      <c r="C589" t="s">
        <v>116</v>
      </c>
      <c r="D589" s="1">
        <v>41159</v>
      </c>
      <c r="E589">
        <v>6</v>
      </c>
      <c r="F589" t="s">
        <v>45</v>
      </c>
      <c r="G589" t="s">
        <v>1221</v>
      </c>
      <c r="H589" t="s">
        <v>22</v>
      </c>
      <c r="I589" t="s">
        <v>23</v>
      </c>
      <c r="J589" t="s">
        <v>929</v>
      </c>
      <c r="K589" t="s">
        <v>25</v>
      </c>
      <c r="L589" t="s">
        <v>26</v>
      </c>
      <c r="M589" t="s">
        <v>40</v>
      </c>
      <c r="N589" t="s">
        <v>41</v>
      </c>
      <c r="O589" t="s">
        <v>1222</v>
      </c>
      <c r="P589">
        <v>294.93</v>
      </c>
      <c r="Q589">
        <v>3</v>
      </c>
      <c r="R589">
        <v>0</v>
      </c>
      <c r="S589">
        <v>144.52000000000001</v>
      </c>
    </row>
    <row r="590" spans="1:19" x14ac:dyDescent="0.3">
      <c r="A590" t="s">
        <v>1223</v>
      </c>
      <c r="B590">
        <v>2013</v>
      </c>
      <c r="C590" t="s">
        <v>177</v>
      </c>
      <c r="D590" t="s">
        <v>1224</v>
      </c>
      <c r="E590">
        <v>4</v>
      </c>
      <c r="F590" t="s">
        <v>45</v>
      </c>
      <c r="G590" t="s">
        <v>1225</v>
      </c>
      <c r="H590" t="s">
        <v>22</v>
      </c>
      <c r="I590" t="s">
        <v>23</v>
      </c>
      <c r="J590" t="s">
        <v>1226</v>
      </c>
      <c r="K590" t="s">
        <v>307</v>
      </c>
      <c r="L590" t="s">
        <v>39</v>
      </c>
      <c r="M590" t="s">
        <v>59</v>
      </c>
      <c r="N590" t="s">
        <v>60</v>
      </c>
      <c r="O590" t="s">
        <v>1227</v>
      </c>
      <c r="P590">
        <v>84.78</v>
      </c>
      <c r="Q590">
        <v>2</v>
      </c>
      <c r="R590">
        <v>0.2</v>
      </c>
      <c r="S590">
        <v>-20.14</v>
      </c>
    </row>
    <row r="591" spans="1:19" x14ac:dyDescent="0.3">
      <c r="A591" t="s">
        <v>1223</v>
      </c>
      <c r="B591">
        <v>2013</v>
      </c>
      <c r="C591" t="s">
        <v>177</v>
      </c>
      <c r="D591" t="s">
        <v>1224</v>
      </c>
      <c r="E591">
        <v>4</v>
      </c>
      <c r="F591" t="s">
        <v>45</v>
      </c>
      <c r="G591" t="s">
        <v>1225</v>
      </c>
      <c r="H591" t="s">
        <v>22</v>
      </c>
      <c r="I591" t="s">
        <v>23</v>
      </c>
      <c r="J591" t="s">
        <v>1226</v>
      </c>
      <c r="K591" t="s">
        <v>307</v>
      </c>
      <c r="L591" t="s">
        <v>39</v>
      </c>
      <c r="M591" t="s">
        <v>40</v>
      </c>
      <c r="N591" t="s">
        <v>74</v>
      </c>
      <c r="O591" t="s">
        <v>1228</v>
      </c>
      <c r="P591">
        <v>20.74</v>
      </c>
      <c r="Q591">
        <v>4</v>
      </c>
      <c r="R591">
        <v>0.2</v>
      </c>
      <c r="S591">
        <v>7.26</v>
      </c>
    </row>
    <row r="592" spans="1:19" x14ac:dyDescent="0.3">
      <c r="A592" t="s">
        <v>1223</v>
      </c>
      <c r="B592">
        <v>2013</v>
      </c>
      <c r="C592" t="s">
        <v>177</v>
      </c>
      <c r="D592" t="s">
        <v>1224</v>
      </c>
      <c r="E592">
        <v>4</v>
      </c>
      <c r="F592" t="s">
        <v>45</v>
      </c>
      <c r="G592" t="s">
        <v>1225</v>
      </c>
      <c r="H592" t="s">
        <v>22</v>
      </c>
      <c r="I592" t="s">
        <v>23</v>
      </c>
      <c r="J592" t="s">
        <v>1226</v>
      </c>
      <c r="K592" t="s">
        <v>307</v>
      </c>
      <c r="L592" t="s">
        <v>39</v>
      </c>
      <c r="M592" t="s">
        <v>40</v>
      </c>
      <c r="N592" t="s">
        <v>62</v>
      </c>
      <c r="O592" t="s">
        <v>1078</v>
      </c>
      <c r="P592">
        <v>16.82</v>
      </c>
      <c r="Q592">
        <v>3</v>
      </c>
      <c r="R592">
        <v>0.7</v>
      </c>
      <c r="S592">
        <v>-12.9</v>
      </c>
    </row>
    <row r="593" spans="1:19" x14ac:dyDescent="0.3">
      <c r="A593" t="s">
        <v>1223</v>
      </c>
      <c r="B593">
        <v>2013</v>
      </c>
      <c r="C593" t="s">
        <v>177</v>
      </c>
      <c r="D593" t="s">
        <v>1224</v>
      </c>
      <c r="E593">
        <v>4</v>
      </c>
      <c r="F593" t="s">
        <v>45</v>
      </c>
      <c r="G593" t="s">
        <v>1225</v>
      </c>
      <c r="H593" t="s">
        <v>22</v>
      </c>
      <c r="I593" t="s">
        <v>23</v>
      </c>
      <c r="J593" t="s">
        <v>1226</v>
      </c>
      <c r="K593" t="s">
        <v>307</v>
      </c>
      <c r="L593" t="s">
        <v>39</v>
      </c>
      <c r="M593" t="s">
        <v>40</v>
      </c>
      <c r="N593" t="s">
        <v>74</v>
      </c>
      <c r="O593" t="s">
        <v>1229</v>
      </c>
      <c r="P593">
        <v>10.37</v>
      </c>
      <c r="Q593">
        <v>2</v>
      </c>
      <c r="R593">
        <v>0.2</v>
      </c>
      <c r="S593">
        <v>3.63</v>
      </c>
    </row>
    <row r="594" spans="1:19" x14ac:dyDescent="0.3">
      <c r="A594" s="1">
        <v>40817</v>
      </c>
      <c r="B594">
        <v>2011</v>
      </c>
      <c r="C594" t="s">
        <v>129</v>
      </c>
      <c r="D594" t="s">
        <v>1230</v>
      </c>
      <c r="E594">
        <v>4</v>
      </c>
      <c r="F594" t="s">
        <v>45</v>
      </c>
      <c r="G594" t="s">
        <v>1231</v>
      </c>
      <c r="H594" t="s">
        <v>22</v>
      </c>
      <c r="I594" t="s">
        <v>23</v>
      </c>
      <c r="J594" t="s">
        <v>1232</v>
      </c>
      <c r="K594" t="s">
        <v>86</v>
      </c>
      <c r="L594" t="s">
        <v>87</v>
      </c>
      <c r="M594" t="s">
        <v>40</v>
      </c>
      <c r="N594" t="s">
        <v>57</v>
      </c>
      <c r="O594" t="s">
        <v>1233</v>
      </c>
      <c r="P594">
        <v>9.34</v>
      </c>
      <c r="Q594">
        <v>2</v>
      </c>
      <c r="R594">
        <v>0.2</v>
      </c>
      <c r="S594">
        <v>1.17</v>
      </c>
    </row>
    <row r="595" spans="1:19" x14ac:dyDescent="0.3">
      <c r="A595" s="1">
        <v>40817</v>
      </c>
      <c r="B595">
        <v>2011</v>
      </c>
      <c r="C595" t="s">
        <v>129</v>
      </c>
      <c r="D595" t="s">
        <v>1230</v>
      </c>
      <c r="E595">
        <v>4</v>
      </c>
      <c r="F595" t="s">
        <v>45</v>
      </c>
      <c r="G595" t="s">
        <v>1231</v>
      </c>
      <c r="H595" t="s">
        <v>22</v>
      </c>
      <c r="I595" t="s">
        <v>23</v>
      </c>
      <c r="J595" t="s">
        <v>1232</v>
      </c>
      <c r="K595" t="s">
        <v>86</v>
      </c>
      <c r="L595" t="s">
        <v>87</v>
      </c>
      <c r="M595" t="s">
        <v>59</v>
      </c>
      <c r="N595" t="s">
        <v>133</v>
      </c>
      <c r="O595" t="s">
        <v>568</v>
      </c>
      <c r="P595">
        <v>31.2</v>
      </c>
      <c r="Q595">
        <v>3</v>
      </c>
      <c r="R595">
        <v>0.2</v>
      </c>
      <c r="S595">
        <v>9.75</v>
      </c>
    </row>
    <row r="596" spans="1:19" x14ac:dyDescent="0.3">
      <c r="A596" s="1">
        <v>40763</v>
      </c>
      <c r="B596">
        <v>2011</v>
      </c>
      <c r="C596" t="s">
        <v>103</v>
      </c>
      <c r="D596" t="s">
        <v>1234</v>
      </c>
      <c r="E596">
        <v>7</v>
      </c>
      <c r="F596" t="s">
        <v>45</v>
      </c>
      <c r="G596" t="s">
        <v>1235</v>
      </c>
      <c r="H596" t="s">
        <v>22</v>
      </c>
      <c r="I596" t="s">
        <v>23</v>
      </c>
      <c r="J596" t="s">
        <v>624</v>
      </c>
      <c r="K596" t="s">
        <v>38</v>
      </c>
      <c r="L596" t="s">
        <v>39</v>
      </c>
      <c r="M596" t="s">
        <v>40</v>
      </c>
      <c r="N596" t="s">
        <v>64</v>
      </c>
      <c r="O596" t="s">
        <v>1236</v>
      </c>
      <c r="P596">
        <v>76.12</v>
      </c>
      <c r="Q596">
        <v>2</v>
      </c>
      <c r="R596">
        <v>0</v>
      </c>
      <c r="S596">
        <v>22.07</v>
      </c>
    </row>
    <row r="597" spans="1:19" x14ac:dyDescent="0.3">
      <c r="A597" s="1">
        <v>40763</v>
      </c>
      <c r="B597">
        <v>2011</v>
      </c>
      <c r="C597" t="s">
        <v>103</v>
      </c>
      <c r="D597" t="s">
        <v>1234</v>
      </c>
      <c r="E597">
        <v>7</v>
      </c>
      <c r="F597" t="s">
        <v>45</v>
      </c>
      <c r="G597" t="s">
        <v>1235</v>
      </c>
      <c r="H597" t="s">
        <v>22</v>
      </c>
      <c r="I597" t="s">
        <v>23</v>
      </c>
      <c r="J597" t="s">
        <v>624</v>
      </c>
      <c r="K597" t="s">
        <v>38</v>
      </c>
      <c r="L597" t="s">
        <v>39</v>
      </c>
      <c r="M597" t="s">
        <v>59</v>
      </c>
      <c r="N597" t="s">
        <v>780</v>
      </c>
      <c r="O597" t="s">
        <v>911</v>
      </c>
      <c r="P597">
        <v>1199.98</v>
      </c>
      <c r="Q597">
        <v>3</v>
      </c>
      <c r="R597">
        <v>0.2</v>
      </c>
      <c r="S597">
        <v>434.99</v>
      </c>
    </row>
    <row r="598" spans="1:19" x14ac:dyDescent="0.3">
      <c r="A598" s="1">
        <v>40763</v>
      </c>
      <c r="B598">
        <v>2011</v>
      </c>
      <c r="C598" t="s">
        <v>103</v>
      </c>
      <c r="D598" t="s">
        <v>1234</v>
      </c>
      <c r="E598">
        <v>7</v>
      </c>
      <c r="F598" t="s">
        <v>45</v>
      </c>
      <c r="G598" t="s">
        <v>1235</v>
      </c>
      <c r="H598" t="s">
        <v>22</v>
      </c>
      <c r="I598" t="s">
        <v>23</v>
      </c>
      <c r="J598" t="s">
        <v>624</v>
      </c>
      <c r="K598" t="s">
        <v>38</v>
      </c>
      <c r="L598" t="s">
        <v>39</v>
      </c>
      <c r="M598" t="s">
        <v>59</v>
      </c>
      <c r="N598" t="s">
        <v>60</v>
      </c>
      <c r="O598" t="s">
        <v>745</v>
      </c>
      <c r="P598">
        <v>445.96</v>
      </c>
      <c r="Q598">
        <v>5</v>
      </c>
      <c r="R598">
        <v>0.2</v>
      </c>
      <c r="S598">
        <v>55.75</v>
      </c>
    </row>
    <row r="599" spans="1:19" x14ac:dyDescent="0.3">
      <c r="A599" s="1">
        <v>40763</v>
      </c>
      <c r="B599">
        <v>2011</v>
      </c>
      <c r="C599" t="s">
        <v>103</v>
      </c>
      <c r="D599" t="s">
        <v>1234</v>
      </c>
      <c r="E599">
        <v>7</v>
      </c>
      <c r="F599" t="s">
        <v>45</v>
      </c>
      <c r="G599" t="s">
        <v>1235</v>
      </c>
      <c r="H599" t="s">
        <v>22</v>
      </c>
      <c r="I599" t="s">
        <v>23</v>
      </c>
      <c r="J599" t="s">
        <v>624</v>
      </c>
      <c r="K599" t="s">
        <v>38</v>
      </c>
      <c r="L599" t="s">
        <v>39</v>
      </c>
      <c r="M599" t="s">
        <v>27</v>
      </c>
      <c r="N599" t="s">
        <v>55</v>
      </c>
      <c r="O599" t="s">
        <v>1237</v>
      </c>
      <c r="P599">
        <v>327.76</v>
      </c>
      <c r="Q599">
        <v>8</v>
      </c>
      <c r="R599">
        <v>0</v>
      </c>
      <c r="S599">
        <v>91.77</v>
      </c>
    </row>
    <row r="600" spans="1:19" x14ac:dyDescent="0.3">
      <c r="A600" t="s">
        <v>1156</v>
      </c>
      <c r="B600">
        <v>2013</v>
      </c>
      <c r="C600" t="s">
        <v>116</v>
      </c>
      <c r="D600" t="s">
        <v>513</v>
      </c>
      <c r="E600">
        <v>2</v>
      </c>
      <c r="F600" t="s">
        <v>151</v>
      </c>
      <c r="G600" t="s">
        <v>1238</v>
      </c>
      <c r="H600" t="s">
        <v>22</v>
      </c>
      <c r="I600" t="s">
        <v>23</v>
      </c>
      <c r="J600" t="s">
        <v>119</v>
      </c>
      <c r="K600" t="s">
        <v>120</v>
      </c>
      <c r="L600" t="s">
        <v>121</v>
      </c>
      <c r="M600" t="s">
        <v>40</v>
      </c>
      <c r="N600" t="s">
        <v>402</v>
      </c>
      <c r="O600" t="s">
        <v>1239</v>
      </c>
      <c r="P600">
        <v>11.63</v>
      </c>
      <c r="Q600">
        <v>2</v>
      </c>
      <c r="R600">
        <v>0.2</v>
      </c>
      <c r="S600">
        <v>1.02</v>
      </c>
    </row>
    <row r="601" spans="1:19" x14ac:dyDescent="0.3">
      <c r="A601" t="s">
        <v>513</v>
      </c>
      <c r="B601">
        <v>2013</v>
      </c>
      <c r="C601" t="s">
        <v>116</v>
      </c>
      <c r="D601" t="s">
        <v>1240</v>
      </c>
      <c r="E601">
        <v>5</v>
      </c>
      <c r="F601" t="s">
        <v>45</v>
      </c>
      <c r="G601" t="s">
        <v>1241</v>
      </c>
      <c r="H601" t="s">
        <v>22</v>
      </c>
      <c r="I601" t="s">
        <v>23</v>
      </c>
      <c r="J601" t="s">
        <v>119</v>
      </c>
      <c r="K601" t="s">
        <v>120</v>
      </c>
      <c r="L601" t="s">
        <v>121</v>
      </c>
      <c r="M601" t="s">
        <v>59</v>
      </c>
      <c r="N601" t="s">
        <v>60</v>
      </c>
      <c r="O601" t="s">
        <v>1242</v>
      </c>
      <c r="P601">
        <v>143.97999999999999</v>
      </c>
      <c r="Q601">
        <v>3</v>
      </c>
      <c r="R601">
        <v>0.4</v>
      </c>
      <c r="S601">
        <v>-28.8</v>
      </c>
    </row>
    <row r="602" spans="1:19" x14ac:dyDescent="0.3">
      <c r="A602" t="s">
        <v>513</v>
      </c>
      <c r="B602">
        <v>2013</v>
      </c>
      <c r="C602" t="s">
        <v>116</v>
      </c>
      <c r="D602" t="s">
        <v>1240</v>
      </c>
      <c r="E602">
        <v>5</v>
      </c>
      <c r="F602" t="s">
        <v>45</v>
      </c>
      <c r="G602" t="s">
        <v>1241</v>
      </c>
      <c r="H602" t="s">
        <v>22</v>
      </c>
      <c r="I602" t="s">
        <v>23</v>
      </c>
      <c r="J602" t="s">
        <v>119</v>
      </c>
      <c r="K602" t="s">
        <v>120</v>
      </c>
      <c r="L602" t="s">
        <v>121</v>
      </c>
      <c r="M602" t="s">
        <v>59</v>
      </c>
      <c r="N602" t="s">
        <v>60</v>
      </c>
      <c r="O602" t="s">
        <v>1243</v>
      </c>
      <c r="P602">
        <v>494.38</v>
      </c>
      <c r="Q602">
        <v>4</v>
      </c>
      <c r="R602">
        <v>0.4</v>
      </c>
      <c r="S602">
        <v>-115.35</v>
      </c>
    </row>
    <row r="603" spans="1:19" x14ac:dyDescent="0.3">
      <c r="A603" t="s">
        <v>513</v>
      </c>
      <c r="B603">
        <v>2013</v>
      </c>
      <c r="C603" t="s">
        <v>116</v>
      </c>
      <c r="D603" t="s">
        <v>1240</v>
      </c>
      <c r="E603">
        <v>5</v>
      </c>
      <c r="F603" t="s">
        <v>45</v>
      </c>
      <c r="G603" t="s">
        <v>1241</v>
      </c>
      <c r="H603" t="s">
        <v>22</v>
      </c>
      <c r="I603" t="s">
        <v>23</v>
      </c>
      <c r="J603" t="s">
        <v>119</v>
      </c>
      <c r="K603" t="s">
        <v>120</v>
      </c>
      <c r="L603" t="s">
        <v>121</v>
      </c>
      <c r="M603" t="s">
        <v>40</v>
      </c>
      <c r="N603" t="s">
        <v>402</v>
      </c>
      <c r="O603" t="s">
        <v>1210</v>
      </c>
      <c r="P603">
        <v>5.84</v>
      </c>
      <c r="Q603">
        <v>2</v>
      </c>
      <c r="R603">
        <v>0.2</v>
      </c>
      <c r="S603">
        <v>0.73</v>
      </c>
    </row>
    <row r="604" spans="1:19" x14ac:dyDescent="0.3">
      <c r="A604" t="s">
        <v>1244</v>
      </c>
      <c r="B604">
        <v>2011</v>
      </c>
      <c r="C604" t="s">
        <v>177</v>
      </c>
      <c r="D604" t="s">
        <v>1245</v>
      </c>
      <c r="E604">
        <v>4</v>
      </c>
      <c r="F604" t="s">
        <v>45</v>
      </c>
      <c r="G604" t="s">
        <v>1246</v>
      </c>
      <c r="H604" t="s">
        <v>22</v>
      </c>
      <c r="I604" t="s">
        <v>23</v>
      </c>
      <c r="J604" t="s">
        <v>601</v>
      </c>
      <c r="K604" t="s">
        <v>48</v>
      </c>
      <c r="L604" t="s">
        <v>26</v>
      </c>
      <c r="M604" t="s">
        <v>40</v>
      </c>
      <c r="N604" t="s">
        <v>51</v>
      </c>
      <c r="O604" t="s">
        <v>1247</v>
      </c>
      <c r="P604">
        <v>142.78</v>
      </c>
      <c r="Q604">
        <v>1</v>
      </c>
      <c r="R604">
        <v>0.2</v>
      </c>
      <c r="S604">
        <v>17.850000000000001</v>
      </c>
    </row>
    <row r="605" spans="1:19" x14ac:dyDescent="0.3">
      <c r="A605" t="s">
        <v>1244</v>
      </c>
      <c r="B605">
        <v>2011</v>
      </c>
      <c r="C605" t="s">
        <v>177</v>
      </c>
      <c r="D605" t="s">
        <v>1245</v>
      </c>
      <c r="E605">
        <v>4</v>
      </c>
      <c r="F605" t="s">
        <v>45</v>
      </c>
      <c r="G605" t="s">
        <v>1246</v>
      </c>
      <c r="H605" t="s">
        <v>22</v>
      </c>
      <c r="I605" t="s">
        <v>23</v>
      </c>
      <c r="J605" t="s">
        <v>601</v>
      </c>
      <c r="K605" t="s">
        <v>48</v>
      </c>
      <c r="L605" t="s">
        <v>26</v>
      </c>
      <c r="M605" t="s">
        <v>27</v>
      </c>
      <c r="N605" t="s">
        <v>55</v>
      </c>
      <c r="O605" t="s">
        <v>736</v>
      </c>
      <c r="P605">
        <v>45.7</v>
      </c>
      <c r="Q605">
        <v>3</v>
      </c>
      <c r="R605">
        <v>0.2</v>
      </c>
      <c r="S605">
        <v>5.14</v>
      </c>
    </row>
    <row r="606" spans="1:19" x14ac:dyDescent="0.3">
      <c r="A606" t="s">
        <v>1244</v>
      </c>
      <c r="B606">
        <v>2011</v>
      </c>
      <c r="C606" t="s">
        <v>177</v>
      </c>
      <c r="D606" t="s">
        <v>1245</v>
      </c>
      <c r="E606">
        <v>4</v>
      </c>
      <c r="F606" t="s">
        <v>45</v>
      </c>
      <c r="G606" t="s">
        <v>1246</v>
      </c>
      <c r="H606" t="s">
        <v>22</v>
      </c>
      <c r="I606" t="s">
        <v>23</v>
      </c>
      <c r="J606" t="s">
        <v>601</v>
      </c>
      <c r="K606" t="s">
        <v>48</v>
      </c>
      <c r="L606" t="s">
        <v>26</v>
      </c>
      <c r="M606" t="s">
        <v>40</v>
      </c>
      <c r="N606" t="s">
        <v>62</v>
      </c>
      <c r="O606" t="s">
        <v>966</v>
      </c>
      <c r="P606">
        <v>7.22</v>
      </c>
      <c r="Q606">
        <v>3</v>
      </c>
      <c r="R606">
        <v>0.7</v>
      </c>
      <c r="S606">
        <v>-5.53</v>
      </c>
    </row>
    <row r="607" spans="1:19" x14ac:dyDescent="0.3">
      <c r="A607" t="s">
        <v>1244</v>
      </c>
      <c r="B607">
        <v>2011</v>
      </c>
      <c r="C607" t="s">
        <v>177</v>
      </c>
      <c r="D607" t="s">
        <v>1245</v>
      </c>
      <c r="E607">
        <v>4</v>
      </c>
      <c r="F607" t="s">
        <v>45</v>
      </c>
      <c r="G607" t="s">
        <v>1246</v>
      </c>
      <c r="H607" t="s">
        <v>22</v>
      </c>
      <c r="I607" t="s">
        <v>23</v>
      </c>
      <c r="J607" t="s">
        <v>601</v>
      </c>
      <c r="K607" t="s">
        <v>48</v>
      </c>
      <c r="L607" t="s">
        <v>26</v>
      </c>
      <c r="M607" t="s">
        <v>40</v>
      </c>
      <c r="N607" t="s">
        <v>62</v>
      </c>
      <c r="O607" t="s">
        <v>949</v>
      </c>
      <c r="P607">
        <v>43.19</v>
      </c>
      <c r="Q607">
        <v>4</v>
      </c>
      <c r="R607">
        <v>0.7</v>
      </c>
      <c r="S607">
        <v>-31.67</v>
      </c>
    </row>
    <row r="608" spans="1:19" x14ac:dyDescent="0.3">
      <c r="A608" t="s">
        <v>1244</v>
      </c>
      <c r="B608">
        <v>2011</v>
      </c>
      <c r="C608" t="s">
        <v>177</v>
      </c>
      <c r="D608" t="s">
        <v>1245</v>
      </c>
      <c r="E608">
        <v>4</v>
      </c>
      <c r="F608" t="s">
        <v>45</v>
      </c>
      <c r="G608" t="s">
        <v>1246</v>
      </c>
      <c r="H608" t="s">
        <v>22</v>
      </c>
      <c r="I608" t="s">
        <v>23</v>
      </c>
      <c r="J608" t="s">
        <v>601</v>
      </c>
      <c r="K608" t="s">
        <v>48</v>
      </c>
      <c r="L608" t="s">
        <v>26</v>
      </c>
      <c r="M608" t="s">
        <v>40</v>
      </c>
      <c r="N608" t="s">
        <v>74</v>
      </c>
      <c r="O608" t="s">
        <v>1248</v>
      </c>
      <c r="P608">
        <v>131.9</v>
      </c>
      <c r="Q608">
        <v>3</v>
      </c>
      <c r="R608">
        <v>0.2</v>
      </c>
      <c r="S608">
        <v>47.82</v>
      </c>
    </row>
    <row r="609" spans="1:19" x14ac:dyDescent="0.3">
      <c r="A609" t="s">
        <v>1249</v>
      </c>
      <c r="B609">
        <v>2011</v>
      </c>
      <c r="C609" t="s">
        <v>96</v>
      </c>
      <c r="D609" t="s">
        <v>1250</v>
      </c>
      <c r="E609">
        <v>4</v>
      </c>
      <c r="F609" t="s">
        <v>45</v>
      </c>
      <c r="G609" t="s">
        <v>1251</v>
      </c>
      <c r="H609" t="s">
        <v>22</v>
      </c>
      <c r="I609" t="s">
        <v>23</v>
      </c>
      <c r="J609" t="s">
        <v>119</v>
      </c>
      <c r="K609" t="s">
        <v>120</v>
      </c>
      <c r="L609" t="s">
        <v>121</v>
      </c>
      <c r="M609" t="s">
        <v>40</v>
      </c>
      <c r="N609" t="s">
        <v>62</v>
      </c>
      <c r="O609" t="s">
        <v>1252</v>
      </c>
      <c r="P609">
        <v>3.28</v>
      </c>
      <c r="Q609">
        <v>2</v>
      </c>
      <c r="R609">
        <v>0.7</v>
      </c>
      <c r="S609">
        <v>-2.63</v>
      </c>
    </row>
    <row r="610" spans="1:19" x14ac:dyDescent="0.3">
      <c r="A610" t="s">
        <v>1249</v>
      </c>
      <c r="B610">
        <v>2011</v>
      </c>
      <c r="C610" t="s">
        <v>96</v>
      </c>
      <c r="D610" t="s">
        <v>1250</v>
      </c>
      <c r="E610">
        <v>4</v>
      </c>
      <c r="F610" t="s">
        <v>45</v>
      </c>
      <c r="G610" t="s">
        <v>1251</v>
      </c>
      <c r="H610" t="s">
        <v>22</v>
      </c>
      <c r="I610" t="s">
        <v>23</v>
      </c>
      <c r="J610" t="s">
        <v>119</v>
      </c>
      <c r="K610" t="s">
        <v>120</v>
      </c>
      <c r="L610" t="s">
        <v>121</v>
      </c>
      <c r="M610" t="s">
        <v>40</v>
      </c>
      <c r="N610" t="s">
        <v>57</v>
      </c>
      <c r="O610" t="s">
        <v>1107</v>
      </c>
      <c r="P610">
        <v>21.17</v>
      </c>
      <c r="Q610">
        <v>9</v>
      </c>
      <c r="R610">
        <v>0.2</v>
      </c>
      <c r="S610">
        <v>2.38</v>
      </c>
    </row>
    <row r="611" spans="1:19" x14ac:dyDescent="0.3">
      <c r="A611" t="s">
        <v>1249</v>
      </c>
      <c r="B611">
        <v>2011</v>
      </c>
      <c r="C611" t="s">
        <v>96</v>
      </c>
      <c r="D611" t="s">
        <v>1250</v>
      </c>
      <c r="E611">
        <v>4</v>
      </c>
      <c r="F611" t="s">
        <v>45</v>
      </c>
      <c r="G611" t="s">
        <v>1251</v>
      </c>
      <c r="H611" t="s">
        <v>22</v>
      </c>
      <c r="I611" t="s">
        <v>23</v>
      </c>
      <c r="J611" t="s">
        <v>119</v>
      </c>
      <c r="K611" t="s">
        <v>120</v>
      </c>
      <c r="L611" t="s">
        <v>121</v>
      </c>
      <c r="M611" t="s">
        <v>59</v>
      </c>
      <c r="N611" t="s">
        <v>60</v>
      </c>
      <c r="O611" t="s">
        <v>1253</v>
      </c>
      <c r="P611">
        <v>55.19</v>
      </c>
      <c r="Q611">
        <v>2</v>
      </c>
      <c r="R611">
        <v>0.4</v>
      </c>
      <c r="S611">
        <v>-10.119999999999999</v>
      </c>
    </row>
    <row r="612" spans="1:19" x14ac:dyDescent="0.3">
      <c r="A612" t="s">
        <v>815</v>
      </c>
      <c r="B612">
        <v>2013</v>
      </c>
      <c r="C612" t="s">
        <v>69</v>
      </c>
      <c r="D612" s="1">
        <v>41310</v>
      </c>
      <c r="E612">
        <v>3</v>
      </c>
      <c r="F612" t="s">
        <v>151</v>
      </c>
      <c r="G612" t="s">
        <v>1254</v>
      </c>
      <c r="H612" t="s">
        <v>36</v>
      </c>
      <c r="I612" t="s">
        <v>23</v>
      </c>
      <c r="J612" t="s">
        <v>552</v>
      </c>
      <c r="K612" t="s">
        <v>86</v>
      </c>
      <c r="L612" t="s">
        <v>87</v>
      </c>
      <c r="M612" t="s">
        <v>59</v>
      </c>
      <c r="N612" t="s">
        <v>60</v>
      </c>
      <c r="O612" t="s">
        <v>880</v>
      </c>
      <c r="P612">
        <v>369.58</v>
      </c>
      <c r="Q612">
        <v>3</v>
      </c>
      <c r="R612">
        <v>0.2</v>
      </c>
      <c r="S612">
        <v>41.58</v>
      </c>
    </row>
    <row r="613" spans="1:19" x14ac:dyDescent="0.3">
      <c r="A613" t="s">
        <v>815</v>
      </c>
      <c r="B613">
        <v>2013</v>
      </c>
      <c r="C613" t="s">
        <v>69</v>
      </c>
      <c r="D613" s="1">
        <v>41310</v>
      </c>
      <c r="E613">
        <v>3</v>
      </c>
      <c r="F613" t="s">
        <v>151</v>
      </c>
      <c r="G613" t="s">
        <v>1254</v>
      </c>
      <c r="H613" t="s">
        <v>36</v>
      </c>
      <c r="I613" t="s">
        <v>23</v>
      </c>
      <c r="J613" t="s">
        <v>552</v>
      </c>
      <c r="K613" t="s">
        <v>86</v>
      </c>
      <c r="L613" t="s">
        <v>87</v>
      </c>
      <c r="M613" t="s">
        <v>40</v>
      </c>
      <c r="N613" t="s">
        <v>41</v>
      </c>
      <c r="O613" t="s">
        <v>1255</v>
      </c>
      <c r="P613">
        <v>15.71</v>
      </c>
      <c r="Q613">
        <v>4</v>
      </c>
      <c r="R613">
        <v>0.2</v>
      </c>
      <c r="S613">
        <v>5.7</v>
      </c>
    </row>
    <row r="614" spans="1:19" x14ac:dyDescent="0.3">
      <c r="A614" s="1">
        <v>41617</v>
      </c>
      <c r="B614">
        <v>2013</v>
      </c>
      <c r="C614" t="s">
        <v>124</v>
      </c>
      <c r="D614" t="s">
        <v>1256</v>
      </c>
      <c r="E614">
        <v>2</v>
      </c>
      <c r="F614" t="s">
        <v>20</v>
      </c>
      <c r="G614" t="s">
        <v>1257</v>
      </c>
      <c r="H614" t="s">
        <v>36</v>
      </c>
      <c r="I614" t="s">
        <v>23</v>
      </c>
      <c r="J614" t="s">
        <v>119</v>
      </c>
      <c r="K614" t="s">
        <v>120</v>
      </c>
      <c r="L614" t="s">
        <v>121</v>
      </c>
      <c r="M614" t="s">
        <v>40</v>
      </c>
      <c r="N614" t="s">
        <v>74</v>
      </c>
      <c r="O614" t="s">
        <v>1258</v>
      </c>
      <c r="P614">
        <v>8.4499999999999993</v>
      </c>
      <c r="Q614">
        <v>2</v>
      </c>
      <c r="R614">
        <v>0.2</v>
      </c>
      <c r="S614">
        <v>2.64</v>
      </c>
    </row>
    <row r="615" spans="1:19" x14ac:dyDescent="0.3">
      <c r="A615" s="1">
        <v>41617</v>
      </c>
      <c r="B615">
        <v>2013</v>
      </c>
      <c r="C615" t="s">
        <v>124</v>
      </c>
      <c r="D615" t="s">
        <v>1256</v>
      </c>
      <c r="E615">
        <v>2</v>
      </c>
      <c r="F615" t="s">
        <v>20</v>
      </c>
      <c r="G615" t="s">
        <v>1257</v>
      </c>
      <c r="H615" t="s">
        <v>36</v>
      </c>
      <c r="I615" t="s">
        <v>23</v>
      </c>
      <c r="J615" t="s">
        <v>119</v>
      </c>
      <c r="K615" t="s">
        <v>120</v>
      </c>
      <c r="L615" t="s">
        <v>121</v>
      </c>
      <c r="M615" t="s">
        <v>59</v>
      </c>
      <c r="N615" t="s">
        <v>60</v>
      </c>
      <c r="O615" t="s">
        <v>1259</v>
      </c>
      <c r="P615">
        <v>728.95</v>
      </c>
      <c r="Q615">
        <v>9</v>
      </c>
      <c r="R615">
        <v>0.4</v>
      </c>
      <c r="S615">
        <v>-157.94</v>
      </c>
    </row>
    <row r="616" spans="1:19" x14ac:dyDescent="0.3">
      <c r="A616" t="s">
        <v>1260</v>
      </c>
      <c r="B616">
        <v>2014</v>
      </c>
      <c r="C616" t="s">
        <v>19</v>
      </c>
      <c r="D616" t="s">
        <v>1261</v>
      </c>
      <c r="E616">
        <v>3</v>
      </c>
      <c r="F616" t="s">
        <v>20</v>
      </c>
      <c r="G616" t="s">
        <v>1262</v>
      </c>
      <c r="H616" t="s">
        <v>22</v>
      </c>
      <c r="I616" t="s">
        <v>23</v>
      </c>
      <c r="J616" t="s">
        <v>1263</v>
      </c>
      <c r="K616" t="s">
        <v>357</v>
      </c>
      <c r="L616" t="s">
        <v>121</v>
      </c>
      <c r="M616" t="s">
        <v>59</v>
      </c>
      <c r="N616" t="s">
        <v>60</v>
      </c>
      <c r="O616" t="s">
        <v>612</v>
      </c>
      <c r="P616">
        <v>119.94</v>
      </c>
      <c r="Q616">
        <v>10</v>
      </c>
      <c r="R616">
        <v>0.4</v>
      </c>
      <c r="S616">
        <v>15.99</v>
      </c>
    </row>
    <row r="617" spans="1:19" x14ac:dyDescent="0.3">
      <c r="A617" t="s">
        <v>1260</v>
      </c>
      <c r="B617">
        <v>2014</v>
      </c>
      <c r="C617" t="s">
        <v>19</v>
      </c>
      <c r="D617" t="s">
        <v>1261</v>
      </c>
      <c r="E617">
        <v>3</v>
      </c>
      <c r="F617" t="s">
        <v>20</v>
      </c>
      <c r="G617" t="s">
        <v>1262</v>
      </c>
      <c r="H617" t="s">
        <v>22</v>
      </c>
      <c r="I617" t="s">
        <v>23</v>
      </c>
      <c r="J617" t="s">
        <v>1263</v>
      </c>
      <c r="K617" t="s">
        <v>357</v>
      </c>
      <c r="L617" t="s">
        <v>121</v>
      </c>
      <c r="M617" t="s">
        <v>40</v>
      </c>
      <c r="N617" t="s">
        <v>62</v>
      </c>
      <c r="O617" t="s">
        <v>1264</v>
      </c>
      <c r="P617">
        <v>3.65</v>
      </c>
      <c r="Q617">
        <v>2</v>
      </c>
      <c r="R617">
        <v>0.7</v>
      </c>
      <c r="S617">
        <v>-2.8</v>
      </c>
    </row>
    <row r="618" spans="1:19" x14ac:dyDescent="0.3">
      <c r="A618" t="s">
        <v>1265</v>
      </c>
      <c r="B618">
        <v>2014</v>
      </c>
      <c r="C618" t="s">
        <v>103</v>
      </c>
      <c r="D618" t="s">
        <v>942</v>
      </c>
      <c r="E618">
        <v>5</v>
      </c>
      <c r="F618" t="s">
        <v>20</v>
      </c>
      <c r="G618" t="s">
        <v>1266</v>
      </c>
      <c r="H618" t="s">
        <v>36</v>
      </c>
      <c r="I618" t="s">
        <v>23</v>
      </c>
      <c r="J618" t="s">
        <v>208</v>
      </c>
      <c r="K618" t="s">
        <v>209</v>
      </c>
      <c r="L618" t="s">
        <v>121</v>
      </c>
      <c r="M618" t="s">
        <v>27</v>
      </c>
      <c r="N618" t="s">
        <v>55</v>
      </c>
      <c r="O618" t="s">
        <v>1267</v>
      </c>
      <c r="P618">
        <v>40.479999999999997</v>
      </c>
      <c r="Q618">
        <v>2</v>
      </c>
      <c r="R618">
        <v>0</v>
      </c>
      <c r="S618">
        <v>15.79</v>
      </c>
    </row>
    <row r="619" spans="1:19" x14ac:dyDescent="0.3">
      <c r="A619" t="s">
        <v>1265</v>
      </c>
      <c r="B619">
        <v>2014</v>
      </c>
      <c r="C619" t="s">
        <v>103</v>
      </c>
      <c r="D619" t="s">
        <v>942</v>
      </c>
      <c r="E619">
        <v>5</v>
      </c>
      <c r="F619" t="s">
        <v>20</v>
      </c>
      <c r="G619" t="s">
        <v>1266</v>
      </c>
      <c r="H619" t="s">
        <v>36</v>
      </c>
      <c r="I619" t="s">
        <v>23</v>
      </c>
      <c r="J619" t="s">
        <v>208</v>
      </c>
      <c r="K619" t="s">
        <v>209</v>
      </c>
      <c r="L619" t="s">
        <v>121</v>
      </c>
      <c r="M619" t="s">
        <v>27</v>
      </c>
      <c r="N619" t="s">
        <v>55</v>
      </c>
      <c r="O619" t="s">
        <v>1268</v>
      </c>
      <c r="P619">
        <v>9.94</v>
      </c>
      <c r="Q619">
        <v>2</v>
      </c>
      <c r="R619">
        <v>0</v>
      </c>
      <c r="S619">
        <v>3.08</v>
      </c>
    </row>
    <row r="620" spans="1:19" x14ac:dyDescent="0.3">
      <c r="A620" t="s">
        <v>1265</v>
      </c>
      <c r="B620">
        <v>2014</v>
      </c>
      <c r="C620" t="s">
        <v>103</v>
      </c>
      <c r="D620" t="s">
        <v>942</v>
      </c>
      <c r="E620">
        <v>5</v>
      </c>
      <c r="F620" t="s">
        <v>20</v>
      </c>
      <c r="G620" t="s">
        <v>1266</v>
      </c>
      <c r="H620" t="s">
        <v>36</v>
      </c>
      <c r="I620" t="s">
        <v>23</v>
      </c>
      <c r="J620" t="s">
        <v>208</v>
      </c>
      <c r="K620" t="s">
        <v>209</v>
      </c>
      <c r="L620" t="s">
        <v>121</v>
      </c>
      <c r="M620" t="s">
        <v>40</v>
      </c>
      <c r="N620" t="s">
        <v>62</v>
      </c>
      <c r="O620" t="s">
        <v>1269</v>
      </c>
      <c r="P620">
        <v>107.42</v>
      </c>
      <c r="Q620">
        <v>9</v>
      </c>
      <c r="R620">
        <v>0.2</v>
      </c>
      <c r="S620">
        <v>33.57</v>
      </c>
    </row>
    <row r="621" spans="1:19" x14ac:dyDescent="0.3">
      <c r="A621" t="s">
        <v>1265</v>
      </c>
      <c r="B621">
        <v>2014</v>
      </c>
      <c r="C621" t="s">
        <v>103</v>
      </c>
      <c r="D621" t="s">
        <v>942</v>
      </c>
      <c r="E621">
        <v>5</v>
      </c>
      <c r="F621" t="s">
        <v>20</v>
      </c>
      <c r="G621" t="s">
        <v>1266</v>
      </c>
      <c r="H621" t="s">
        <v>36</v>
      </c>
      <c r="I621" t="s">
        <v>23</v>
      </c>
      <c r="J621" t="s">
        <v>208</v>
      </c>
      <c r="K621" t="s">
        <v>209</v>
      </c>
      <c r="L621" t="s">
        <v>121</v>
      </c>
      <c r="M621" t="s">
        <v>59</v>
      </c>
      <c r="N621" t="s">
        <v>60</v>
      </c>
      <c r="O621" t="s">
        <v>1270</v>
      </c>
      <c r="P621">
        <v>37.909999999999997</v>
      </c>
      <c r="Q621">
        <v>1</v>
      </c>
      <c r="R621">
        <v>0</v>
      </c>
      <c r="S621">
        <v>10.99</v>
      </c>
    </row>
    <row r="622" spans="1:19" x14ac:dyDescent="0.3">
      <c r="A622" t="s">
        <v>1265</v>
      </c>
      <c r="B622">
        <v>2014</v>
      </c>
      <c r="C622" t="s">
        <v>103</v>
      </c>
      <c r="D622" t="s">
        <v>942</v>
      </c>
      <c r="E622">
        <v>5</v>
      </c>
      <c r="F622" t="s">
        <v>20</v>
      </c>
      <c r="G622" t="s">
        <v>1266</v>
      </c>
      <c r="H622" t="s">
        <v>36</v>
      </c>
      <c r="I622" t="s">
        <v>23</v>
      </c>
      <c r="J622" t="s">
        <v>208</v>
      </c>
      <c r="K622" t="s">
        <v>209</v>
      </c>
      <c r="L622" t="s">
        <v>121</v>
      </c>
      <c r="M622" t="s">
        <v>27</v>
      </c>
      <c r="N622" t="s">
        <v>55</v>
      </c>
      <c r="O622" t="s">
        <v>422</v>
      </c>
      <c r="P622">
        <v>88.02</v>
      </c>
      <c r="Q622">
        <v>3</v>
      </c>
      <c r="R622">
        <v>0</v>
      </c>
      <c r="S622">
        <v>27.29</v>
      </c>
    </row>
    <row r="623" spans="1:19" x14ac:dyDescent="0.3">
      <c r="A623" t="s">
        <v>373</v>
      </c>
      <c r="B623">
        <v>2011</v>
      </c>
      <c r="C623" t="s">
        <v>76</v>
      </c>
      <c r="D623" t="s">
        <v>1271</v>
      </c>
      <c r="E623">
        <v>5</v>
      </c>
      <c r="F623" t="s">
        <v>45</v>
      </c>
      <c r="G623" t="s">
        <v>1272</v>
      </c>
      <c r="H623" t="s">
        <v>22</v>
      </c>
      <c r="I623" t="s">
        <v>23</v>
      </c>
      <c r="J623" t="s">
        <v>232</v>
      </c>
      <c r="K623" t="s">
        <v>166</v>
      </c>
      <c r="L623" t="s">
        <v>87</v>
      </c>
      <c r="M623" t="s">
        <v>40</v>
      </c>
      <c r="N623" t="s">
        <v>62</v>
      </c>
      <c r="O623" t="s">
        <v>1273</v>
      </c>
      <c r="P623">
        <v>8.69</v>
      </c>
      <c r="Q623">
        <v>5</v>
      </c>
      <c r="R623">
        <v>0.8</v>
      </c>
      <c r="S623">
        <v>-14.77</v>
      </c>
    </row>
    <row r="624" spans="1:19" x14ac:dyDescent="0.3">
      <c r="A624" t="s">
        <v>1274</v>
      </c>
      <c r="B624">
        <v>2012</v>
      </c>
      <c r="C624" t="s">
        <v>19</v>
      </c>
      <c r="D624" s="1">
        <v>40980</v>
      </c>
      <c r="E624">
        <v>4</v>
      </c>
      <c r="F624" t="s">
        <v>45</v>
      </c>
      <c r="G624" t="s">
        <v>1275</v>
      </c>
      <c r="H624" t="s">
        <v>36</v>
      </c>
      <c r="I624" t="s">
        <v>23</v>
      </c>
      <c r="J624" t="s">
        <v>1276</v>
      </c>
      <c r="K624" t="s">
        <v>188</v>
      </c>
      <c r="L624" t="s">
        <v>87</v>
      </c>
      <c r="M624" t="s">
        <v>27</v>
      </c>
      <c r="N624" t="s">
        <v>30</v>
      </c>
      <c r="O624" t="s">
        <v>1277</v>
      </c>
      <c r="P624">
        <v>301.95999999999998</v>
      </c>
      <c r="Q624">
        <v>2</v>
      </c>
      <c r="R624">
        <v>0</v>
      </c>
      <c r="S624">
        <v>87.57</v>
      </c>
    </row>
    <row r="625" spans="1:19" x14ac:dyDescent="0.3">
      <c r="A625" t="s">
        <v>1274</v>
      </c>
      <c r="B625">
        <v>2012</v>
      </c>
      <c r="C625" t="s">
        <v>19</v>
      </c>
      <c r="D625" s="1">
        <v>40980</v>
      </c>
      <c r="E625">
        <v>4</v>
      </c>
      <c r="F625" t="s">
        <v>45</v>
      </c>
      <c r="G625" t="s">
        <v>1275</v>
      </c>
      <c r="H625" t="s">
        <v>36</v>
      </c>
      <c r="I625" t="s">
        <v>23</v>
      </c>
      <c r="J625" t="s">
        <v>1276</v>
      </c>
      <c r="K625" t="s">
        <v>188</v>
      </c>
      <c r="L625" t="s">
        <v>87</v>
      </c>
      <c r="M625" t="s">
        <v>40</v>
      </c>
      <c r="N625" t="s">
        <v>64</v>
      </c>
      <c r="O625" t="s">
        <v>1278</v>
      </c>
      <c r="P625">
        <v>555.21</v>
      </c>
      <c r="Q625">
        <v>5</v>
      </c>
      <c r="R625">
        <v>0.1</v>
      </c>
      <c r="S625">
        <v>178.9</v>
      </c>
    </row>
    <row r="626" spans="1:19" x14ac:dyDescent="0.3">
      <c r="A626" t="s">
        <v>1274</v>
      </c>
      <c r="B626">
        <v>2012</v>
      </c>
      <c r="C626" t="s">
        <v>19</v>
      </c>
      <c r="D626" s="1">
        <v>40980</v>
      </c>
      <c r="E626">
        <v>4</v>
      </c>
      <c r="F626" t="s">
        <v>45</v>
      </c>
      <c r="G626" t="s">
        <v>1275</v>
      </c>
      <c r="H626" t="s">
        <v>36</v>
      </c>
      <c r="I626" t="s">
        <v>23</v>
      </c>
      <c r="J626" t="s">
        <v>1276</v>
      </c>
      <c r="K626" t="s">
        <v>188</v>
      </c>
      <c r="L626" t="s">
        <v>87</v>
      </c>
      <c r="M626" t="s">
        <v>40</v>
      </c>
      <c r="N626" t="s">
        <v>51</v>
      </c>
      <c r="O626" t="s">
        <v>1279</v>
      </c>
      <c r="P626">
        <v>523.48</v>
      </c>
      <c r="Q626">
        <v>4</v>
      </c>
      <c r="R626">
        <v>0</v>
      </c>
      <c r="S626">
        <v>130.87</v>
      </c>
    </row>
    <row r="627" spans="1:19" x14ac:dyDescent="0.3">
      <c r="A627" t="s">
        <v>1274</v>
      </c>
      <c r="B627">
        <v>2012</v>
      </c>
      <c r="C627" t="s">
        <v>19</v>
      </c>
      <c r="D627" s="1">
        <v>40980</v>
      </c>
      <c r="E627">
        <v>4</v>
      </c>
      <c r="F627" t="s">
        <v>45</v>
      </c>
      <c r="G627" t="s">
        <v>1275</v>
      </c>
      <c r="H627" t="s">
        <v>36</v>
      </c>
      <c r="I627" t="s">
        <v>23</v>
      </c>
      <c r="J627" t="s">
        <v>1276</v>
      </c>
      <c r="K627" t="s">
        <v>188</v>
      </c>
      <c r="L627" t="s">
        <v>87</v>
      </c>
      <c r="M627" t="s">
        <v>40</v>
      </c>
      <c r="N627" t="s">
        <v>57</v>
      </c>
      <c r="O627" t="s">
        <v>143</v>
      </c>
      <c r="P627">
        <v>161.82</v>
      </c>
      <c r="Q627">
        <v>9</v>
      </c>
      <c r="R627">
        <v>0</v>
      </c>
      <c r="S627">
        <v>46.93</v>
      </c>
    </row>
    <row r="628" spans="1:19" x14ac:dyDescent="0.3">
      <c r="A628" t="s">
        <v>163</v>
      </c>
      <c r="B628">
        <v>2014</v>
      </c>
      <c r="C628" t="s">
        <v>124</v>
      </c>
      <c r="D628" t="s">
        <v>172</v>
      </c>
      <c r="E628">
        <v>4</v>
      </c>
      <c r="F628" t="s">
        <v>45</v>
      </c>
      <c r="G628" t="s">
        <v>1280</v>
      </c>
      <c r="H628" t="s">
        <v>84</v>
      </c>
      <c r="I628" t="s">
        <v>23</v>
      </c>
      <c r="J628" t="s">
        <v>208</v>
      </c>
      <c r="K628" t="s">
        <v>209</v>
      </c>
      <c r="L628" t="s">
        <v>121</v>
      </c>
      <c r="M628" t="s">
        <v>27</v>
      </c>
      <c r="N628" t="s">
        <v>55</v>
      </c>
      <c r="O628" t="s">
        <v>1281</v>
      </c>
      <c r="P628">
        <v>35.56</v>
      </c>
      <c r="Q628">
        <v>7</v>
      </c>
      <c r="R628">
        <v>0</v>
      </c>
      <c r="S628">
        <v>12.09</v>
      </c>
    </row>
    <row r="629" spans="1:19" x14ac:dyDescent="0.3">
      <c r="A629" t="s">
        <v>1282</v>
      </c>
      <c r="B629">
        <v>2014</v>
      </c>
      <c r="C629" t="s">
        <v>96</v>
      </c>
      <c r="D629" t="s">
        <v>1283</v>
      </c>
      <c r="E629">
        <v>4</v>
      </c>
      <c r="F629" t="s">
        <v>45</v>
      </c>
      <c r="G629" t="s">
        <v>1284</v>
      </c>
      <c r="H629" t="s">
        <v>22</v>
      </c>
      <c r="I629" t="s">
        <v>23</v>
      </c>
      <c r="J629" t="s">
        <v>78</v>
      </c>
      <c r="K629" t="s">
        <v>79</v>
      </c>
      <c r="L629" t="s">
        <v>39</v>
      </c>
      <c r="M629" t="s">
        <v>40</v>
      </c>
      <c r="N629" t="s">
        <v>64</v>
      </c>
      <c r="O629" t="s">
        <v>1285</v>
      </c>
      <c r="P629">
        <v>97.16</v>
      </c>
      <c r="Q629">
        <v>2</v>
      </c>
      <c r="R629">
        <v>0</v>
      </c>
      <c r="S629">
        <v>28.18</v>
      </c>
    </row>
    <row r="630" spans="1:19" x14ac:dyDescent="0.3">
      <c r="A630" t="s">
        <v>549</v>
      </c>
      <c r="B630">
        <v>2014</v>
      </c>
      <c r="C630" t="s">
        <v>76</v>
      </c>
      <c r="D630" t="s">
        <v>550</v>
      </c>
      <c r="E630">
        <v>4</v>
      </c>
      <c r="F630" t="s">
        <v>45</v>
      </c>
      <c r="G630" t="s">
        <v>551</v>
      </c>
      <c r="H630" t="s">
        <v>22</v>
      </c>
      <c r="I630" t="s">
        <v>23</v>
      </c>
      <c r="J630" t="s">
        <v>105</v>
      </c>
      <c r="K630" t="s">
        <v>38</v>
      </c>
      <c r="L630" t="s">
        <v>39</v>
      </c>
      <c r="M630" t="s">
        <v>40</v>
      </c>
      <c r="N630" t="s">
        <v>62</v>
      </c>
      <c r="O630" t="s">
        <v>1286</v>
      </c>
      <c r="P630">
        <v>15.24</v>
      </c>
      <c r="Q630">
        <v>5</v>
      </c>
      <c r="R630">
        <v>0.2</v>
      </c>
      <c r="S630">
        <v>5.14</v>
      </c>
    </row>
    <row r="631" spans="1:19" x14ac:dyDescent="0.3">
      <c r="A631" t="s">
        <v>549</v>
      </c>
      <c r="B631">
        <v>2014</v>
      </c>
      <c r="C631" t="s">
        <v>76</v>
      </c>
      <c r="D631" t="s">
        <v>550</v>
      </c>
      <c r="E631">
        <v>4</v>
      </c>
      <c r="F631" t="s">
        <v>45</v>
      </c>
      <c r="G631" t="s">
        <v>551</v>
      </c>
      <c r="H631" t="s">
        <v>22</v>
      </c>
      <c r="I631" t="s">
        <v>23</v>
      </c>
      <c r="J631" t="s">
        <v>105</v>
      </c>
      <c r="K631" t="s">
        <v>38</v>
      </c>
      <c r="L631" t="s">
        <v>39</v>
      </c>
      <c r="M631" t="s">
        <v>40</v>
      </c>
      <c r="N631" t="s">
        <v>74</v>
      </c>
      <c r="O631" t="s">
        <v>674</v>
      </c>
      <c r="P631">
        <v>13.23</v>
      </c>
      <c r="Q631">
        <v>3</v>
      </c>
      <c r="R631">
        <v>0</v>
      </c>
      <c r="S631">
        <v>6.09</v>
      </c>
    </row>
    <row r="632" spans="1:19" x14ac:dyDescent="0.3">
      <c r="A632" s="1">
        <v>41620</v>
      </c>
      <c r="B632">
        <v>2013</v>
      </c>
      <c r="C632" t="s">
        <v>76</v>
      </c>
      <c r="D632" t="s">
        <v>109</v>
      </c>
      <c r="E632">
        <v>2</v>
      </c>
      <c r="F632" t="s">
        <v>20</v>
      </c>
      <c r="G632" t="s">
        <v>1287</v>
      </c>
      <c r="H632" t="s">
        <v>22</v>
      </c>
      <c r="I632" t="s">
        <v>23</v>
      </c>
      <c r="J632" t="s">
        <v>328</v>
      </c>
      <c r="K632" t="s">
        <v>329</v>
      </c>
      <c r="L632" t="s">
        <v>39</v>
      </c>
      <c r="M632" t="s">
        <v>40</v>
      </c>
      <c r="N632" t="s">
        <v>51</v>
      </c>
      <c r="O632" t="s">
        <v>1288</v>
      </c>
      <c r="P632">
        <v>243.38</v>
      </c>
      <c r="Q632">
        <v>3</v>
      </c>
      <c r="R632">
        <v>0.2</v>
      </c>
      <c r="S632">
        <v>-51.72</v>
      </c>
    </row>
    <row r="633" spans="1:19" x14ac:dyDescent="0.3">
      <c r="A633" s="1">
        <v>41620</v>
      </c>
      <c r="B633">
        <v>2013</v>
      </c>
      <c r="C633" t="s">
        <v>76</v>
      </c>
      <c r="D633" t="s">
        <v>109</v>
      </c>
      <c r="E633">
        <v>2</v>
      </c>
      <c r="F633" t="s">
        <v>20</v>
      </c>
      <c r="G633" t="s">
        <v>1287</v>
      </c>
      <c r="H633" t="s">
        <v>22</v>
      </c>
      <c r="I633" t="s">
        <v>23</v>
      </c>
      <c r="J633" t="s">
        <v>328</v>
      </c>
      <c r="K633" t="s">
        <v>329</v>
      </c>
      <c r="L633" t="s">
        <v>39</v>
      </c>
      <c r="M633" t="s">
        <v>59</v>
      </c>
      <c r="N633" t="s">
        <v>133</v>
      </c>
      <c r="O633" t="s">
        <v>1289</v>
      </c>
      <c r="P633">
        <v>119.8</v>
      </c>
      <c r="Q633">
        <v>5</v>
      </c>
      <c r="R633">
        <v>0.2</v>
      </c>
      <c r="S633">
        <v>29.95</v>
      </c>
    </row>
    <row r="634" spans="1:19" x14ac:dyDescent="0.3">
      <c r="A634" s="1">
        <v>41620</v>
      </c>
      <c r="B634">
        <v>2013</v>
      </c>
      <c r="C634" t="s">
        <v>76</v>
      </c>
      <c r="D634" t="s">
        <v>109</v>
      </c>
      <c r="E634">
        <v>2</v>
      </c>
      <c r="F634" t="s">
        <v>20</v>
      </c>
      <c r="G634" t="s">
        <v>1287</v>
      </c>
      <c r="H634" t="s">
        <v>22</v>
      </c>
      <c r="I634" t="s">
        <v>23</v>
      </c>
      <c r="J634" t="s">
        <v>328</v>
      </c>
      <c r="K634" t="s">
        <v>329</v>
      </c>
      <c r="L634" t="s">
        <v>39</v>
      </c>
      <c r="M634" t="s">
        <v>59</v>
      </c>
      <c r="N634" t="s">
        <v>60</v>
      </c>
      <c r="O634" t="s">
        <v>1290</v>
      </c>
      <c r="P634">
        <v>300.77</v>
      </c>
      <c r="Q634">
        <v>4</v>
      </c>
      <c r="R634">
        <v>0.2</v>
      </c>
      <c r="S634">
        <v>30.08</v>
      </c>
    </row>
    <row r="635" spans="1:19" x14ac:dyDescent="0.3">
      <c r="A635" t="s">
        <v>1291</v>
      </c>
      <c r="B635">
        <v>2014</v>
      </c>
      <c r="C635" t="s">
        <v>124</v>
      </c>
      <c r="D635" t="s">
        <v>1292</v>
      </c>
      <c r="E635">
        <v>2</v>
      </c>
      <c r="F635" t="s">
        <v>20</v>
      </c>
      <c r="G635" t="s">
        <v>1127</v>
      </c>
      <c r="H635" t="s">
        <v>22</v>
      </c>
      <c r="I635" t="s">
        <v>23</v>
      </c>
      <c r="J635" t="s">
        <v>901</v>
      </c>
      <c r="K635" t="s">
        <v>48</v>
      </c>
      <c r="L635" t="s">
        <v>26</v>
      </c>
      <c r="M635" t="s">
        <v>59</v>
      </c>
      <c r="N635" t="s">
        <v>133</v>
      </c>
      <c r="O635" t="s">
        <v>1293</v>
      </c>
      <c r="P635">
        <v>17.88</v>
      </c>
      <c r="Q635">
        <v>3</v>
      </c>
      <c r="R635">
        <v>0.2</v>
      </c>
      <c r="S635">
        <v>2.46</v>
      </c>
    </row>
    <row r="636" spans="1:19" x14ac:dyDescent="0.3">
      <c r="A636" t="s">
        <v>1291</v>
      </c>
      <c r="B636">
        <v>2014</v>
      </c>
      <c r="C636" t="s">
        <v>124</v>
      </c>
      <c r="D636" t="s">
        <v>1292</v>
      </c>
      <c r="E636">
        <v>2</v>
      </c>
      <c r="F636" t="s">
        <v>20</v>
      </c>
      <c r="G636" t="s">
        <v>1127</v>
      </c>
      <c r="H636" t="s">
        <v>22</v>
      </c>
      <c r="I636" t="s">
        <v>23</v>
      </c>
      <c r="J636" t="s">
        <v>901</v>
      </c>
      <c r="K636" t="s">
        <v>48</v>
      </c>
      <c r="L636" t="s">
        <v>26</v>
      </c>
      <c r="M636" t="s">
        <v>40</v>
      </c>
      <c r="N636" t="s">
        <v>41</v>
      </c>
      <c r="O636" t="s">
        <v>1222</v>
      </c>
      <c r="P636">
        <v>235.94</v>
      </c>
      <c r="Q636">
        <v>3</v>
      </c>
      <c r="R636">
        <v>0.2</v>
      </c>
      <c r="S636">
        <v>85.53</v>
      </c>
    </row>
    <row r="637" spans="1:19" x14ac:dyDescent="0.3">
      <c r="A637" s="1">
        <v>41009</v>
      </c>
      <c r="B637">
        <v>2012</v>
      </c>
      <c r="C637" t="s">
        <v>43</v>
      </c>
      <c r="D637" s="1">
        <v>41162</v>
      </c>
      <c r="E637">
        <v>5</v>
      </c>
      <c r="F637" t="s">
        <v>20</v>
      </c>
      <c r="G637" t="s">
        <v>1294</v>
      </c>
      <c r="H637" t="s">
        <v>36</v>
      </c>
      <c r="I637" t="s">
        <v>23</v>
      </c>
      <c r="J637" t="s">
        <v>1295</v>
      </c>
      <c r="K637" t="s">
        <v>817</v>
      </c>
      <c r="L637" t="s">
        <v>26</v>
      </c>
      <c r="M637" t="s">
        <v>27</v>
      </c>
      <c r="N637" t="s">
        <v>30</v>
      </c>
      <c r="O637" t="s">
        <v>1296</v>
      </c>
      <c r="P637">
        <v>392.94</v>
      </c>
      <c r="Q637">
        <v>3</v>
      </c>
      <c r="R637">
        <v>0</v>
      </c>
      <c r="S637">
        <v>43.22</v>
      </c>
    </row>
    <row r="638" spans="1:19" x14ac:dyDescent="0.3">
      <c r="A638" t="s">
        <v>1297</v>
      </c>
      <c r="B638">
        <v>2013</v>
      </c>
      <c r="C638" t="s">
        <v>103</v>
      </c>
      <c r="D638" t="s">
        <v>1298</v>
      </c>
      <c r="E638">
        <v>6</v>
      </c>
      <c r="F638" t="s">
        <v>45</v>
      </c>
      <c r="G638" t="s">
        <v>1299</v>
      </c>
      <c r="H638" t="s">
        <v>22</v>
      </c>
      <c r="I638" t="s">
        <v>23</v>
      </c>
      <c r="J638" t="s">
        <v>328</v>
      </c>
      <c r="K638" t="s">
        <v>329</v>
      </c>
      <c r="L638" t="s">
        <v>39</v>
      </c>
      <c r="M638" t="s">
        <v>40</v>
      </c>
      <c r="N638" t="s">
        <v>62</v>
      </c>
      <c r="O638" t="s">
        <v>1300</v>
      </c>
      <c r="P638">
        <v>18.88</v>
      </c>
      <c r="Q638">
        <v>3</v>
      </c>
      <c r="R638">
        <v>0.7</v>
      </c>
      <c r="S638">
        <v>-13.85</v>
      </c>
    </row>
    <row r="639" spans="1:19" x14ac:dyDescent="0.3">
      <c r="A639" t="s">
        <v>1297</v>
      </c>
      <c r="B639">
        <v>2013</v>
      </c>
      <c r="C639" t="s">
        <v>103</v>
      </c>
      <c r="D639" t="s">
        <v>1298</v>
      </c>
      <c r="E639">
        <v>6</v>
      </c>
      <c r="F639" t="s">
        <v>45</v>
      </c>
      <c r="G639" t="s">
        <v>1299</v>
      </c>
      <c r="H639" t="s">
        <v>22</v>
      </c>
      <c r="I639" t="s">
        <v>23</v>
      </c>
      <c r="J639" t="s">
        <v>328</v>
      </c>
      <c r="K639" t="s">
        <v>329</v>
      </c>
      <c r="L639" t="s">
        <v>39</v>
      </c>
      <c r="M639" t="s">
        <v>40</v>
      </c>
      <c r="N639" t="s">
        <v>64</v>
      </c>
      <c r="O639" t="s">
        <v>1301</v>
      </c>
      <c r="P639">
        <v>122.33</v>
      </c>
      <c r="Q639">
        <v>3</v>
      </c>
      <c r="R639">
        <v>0.2</v>
      </c>
      <c r="S639">
        <v>12.23</v>
      </c>
    </row>
    <row r="640" spans="1:19" x14ac:dyDescent="0.3">
      <c r="A640" t="s">
        <v>1302</v>
      </c>
      <c r="B640">
        <v>2013</v>
      </c>
      <c r="C640" t="s">
        <v>96</v>
      </c>
      <c r="D640" t="s">
        <v>1303</v>
      </c>
      <c r="E640">
        <v>5</v>
      </c>
      <c r="F640" t="s">
        <v>45</v>
      </c>
      <c r="G640" t="s">
        <v>319</v>
      </c>
      <c r="H640" t="s">
        <v>84</v>
      </c>
      <c r="I640" t="s">
        <v>23</v>
      </c>
      <c r="J640" t="s">
        <v>1304</v>
      </c>
      <c r="K640" t="s">
        <v>38</v>
      </c>
      <c r="L640" t="s">
        <v>39</v>
      </c>
      <c r="M640" t="s">
        <v>27</v>
      </c>
      <c r="N640" t="s">
        <v>55</v>
      </c>
      <c r="O640" t="s">
        <v>611</v>
      </c>
      <c r="P640">
        <v>1049.2</v>
      </c>
      <c r="Q640">
        <v>5</v>
      </c>
      <c r="R640">
        <v>0</v>
      </c>
      <c r="S640">
        <v>272.79000000000002</v>
      </c>
    </row>
    <row r="641" spans="1:19" x14ac:dyDescent="0.3">
      <c r="A641" t="s">
        <v>1302</v>
      </c>
      <c r="B641">
        <v>2013</v>
      </c>
      <c r="C641" t="s">
        <v>96</v>
      </c>
      <c r="D641" t="s">
        <v>1303</v>
      </c>
      <c r="E641">
        <v>5</v>
      </c>
      <c r="F641" t="s">
        <v>45</v>
      </c>
      <c r="G641" t="s">
        <v>319</v>
      </c>
      <c r="H641" t="s">
        <v>84</v>
      </c>
      <c r="I641" t="s">
        <v>23</v>
      </c>
      <c r="J641" t="s">
        <v>1304</v>
      </c>
      <c r="K641" t="s">
        <v>38</v>
      </c>
      <c r="L641" t="s">
        <v>39</v>
      </c>
      <c r="M641" t="s">
        <v>40</v>
      </c>
      <c r="N641" t="s">
        <v>62</v>
      </c>
      <c r="O641" t="s">
        <v>1305</v>
      </c>
      <c r="P641">
        <v>15.42</v>
      </c>
      <c r="Q641">
        <v>4</v>
      </c>
      <c r="R641">
        <v>0.2</v>
      </c>
      <c r="S641">
        <v>5.01</v>
      </c>
    </row>
    <row r="642" spans="1:19" x14ac:dyDescent="0.3">
      <c r="A642" t="s">
        <v>691</v>
      </c>
      <c r="B642">
        <v>2013</v>
      </c>
      <c r="C642" t="s">
        <v>76</v>
      </c>
      <c r="D642" t="s">
        <v>1306</v>
      </c>
      <c r="E642">
        <v>4</v>
      </c>
      <c r="F642" t="s">
        <v>45</v>
      </c>
      <c r="G642" t="s">
        <v>1307</v>
      </c>
      <c r="H642" t="s">
        <v>36</v>
      </c>
      <c r="I642" t="s">
        <v>23</v>
      </c>
      <c r="J642" t="s">
        <v>300</v>
      </c>
      <c r="K642" t="s">
        <v>181</v>
      </c>
      <c r="L642" t="s">
        <v>87</v>
      </c>
      <c r="M642" t="s">
        <v>27</v>
      </c>
      <c r="N642" t="s">
        <v>55</v>
      </c>
      <c r="O642" t="s">
        <v>1308</v>
      </c>
      <c r="P642">
        <v>18.84</v>
      </c>
      <c r="Q642">
        <v>3</v>
      </c>
      <c r="R642">
        <v>0</v>
      </c>
      <c r="S642">
        <v>6.03</v>
      </c>
    </row>
    <row r="643" spans="1:19" x14ac:dyDescent="0.3">
      <c r="A643" t="s">
        <v>1309</v>
      </c>
      <c r="B643">
        <v>2014</v>
      </c>
      <c r="C643" t="s">
        <v>116</v>
      </c>
      <c r="D643" s="1">
        <v>41737</v>
      </c>
      <c r="E643">
        <v>4</v>
      </c>
      <c r="F643" t="s">
        <v>20</v>
      </c>
      <c r="G643" t="s">
        <v>1310</v>
      </c>
      <c r="H643" t="s">
        <v>22</v>
      </c>
      <c r="I643" t="s">
        <v>23</v>
      </c>
      <c r="J643" t="s">
        <v>1311</v>
      </c>
      <c r="K643" t="s">
        <v>38</v>
      </c>
      <c r="L643" t="s">
        <v>39</v>
      </c>
      <c r="M643" t="s">
        <v>40</v>
      </c>
      <c r="N643" t="s">
        <v>51</v>
      </c>
      <c r="O643" t="s">
        <v>1312</v>
      </c>
      <c r="P643">
        <v>330.4</v>
      </c>
      <c r="Q643">
        <v>2</v>
      </c>
      <c r="R643">
        <v>0</v>
      </c>
      <c r="S643">
        <v>85.9</v>
      </c>
    </row>
    <row r="644" spans="1:19" x14ac:dyDescent="0.3">
      <c r="A644" t="s">
        <v>1309</v>
      </c>
      <c r="B644">
        <v>2014</v>
      </c>
      <c r="C644" t="s">
        <v>116</v>
      </c>
      <c r="D644" s="1">
        <v>41737</v>
      </c>
      <c r="E644">
        <v>4</v>
      </c>
      <c r="F644" t="s">
        <v>20</v>
      </c>
      <c r="G644" t="s">
        <v>1310</v>
      </c>
      <c r="H644" t="s">
        <v>22</v>
      </c>
      <c r="I644" t="s">
        <v>23</v>
      </c>
      <c r="J644" t="s">
        <v>1311</v>
      </c>
      <c r="K644" t="s">
        <v>38</v>
      </c>
      <c r="L644" t="s">
        <v>39</v>
      </c>
      <c r="M644" t="s">
        <v>40</v>
      </c>
      <c r="N644" t="s">
        <v>41</v>
      </c>
      <c r="O644" t="s">
        <v>1313</v>
      </c>
      <c r="P644">
        <v>26.25</v>
      </c>
      <c r="Q644">
        <v>7</v>
      </c>
      <c r="R644">
        <v>0</v>
      </c>
      <c r="S644">
        <v>12.6</v>
      </c>
    </row>
    <row r="645" spans="1:19" x14ac:dyDescent="0.3">
      <c r="A645" s="1">
        <v>41949</v>
      </c>
      <c r="B645">
        <v>2014</v>
      </c>
      <c r="C645" t="s">
        <v>33</v>
      </c>
      <c r="D645" t="s">
        <v>797</v>
      </c>
      <c r="E645">
        <v>5</v>
      </c>
      <c r="F645" t="s">
        <v>45</v>
      </c>
      <c r="G645" t="s">
        <v>1314</v>
      </c>
      <c r="H645" t="s">
        <v>22</v>
      </c>
      <c r="I645" t="s">
        <v>23</v>
      </c>
      <c r="J645" t="s">
        <v>1315</v>
      </c>
      <c r="K645" t="s">
        <v>188</v>
      </c>
      <c r="L645" t="s">
        <v>87</v>
      </c>
      <c r="M645" t="s">
        <v>59</v>
      </c>
      <c r="N645" t="s">
        <v>133</v>
      </c>
      <c r="O645" t="s">
        <v>1125</v>
      </c>
      <c r="P645">
        <v>132.52000000000001</v>
      </c>
      <c r="Q645">
        <v>4</v>
      </c>
      <c r="R645">
        <v>0</v>
      </c>
      <c r="S645">
        <v>54.33</v>
      </c>
    </row>
    <row r="646" spans="1:19" x14ac:dyDescent="0.3">
      <c r="A646" t="s">
        <v>1316</v>
      </c>
      <c r="B646">
        <v>2014</v>
      </c>
      <c r="C646" t="s">
        <v>116</v>
      </c>
      <c r="D646" t="s">
        <v>1317</v>
      </c>
      <c r="E646">
        <v>4</v>
      </c>
      <c r="F646" t="s">
        <v>45</v>
      </c>
      <c r="G646" t="s">
        <v>429</v>
      </c>
      <c r="H646" t="s">
        <v>84</v>
      </c>
      <c r="I646" t="s">
        <v>23</v>
      </c>
      <c r="J646" t="s">
        <v>1318</v>
      </c>
      <c r="K646" t="s">
        <v>534</v>
      </c>
      <c r="L646" t="s">
        <v>121</v>
      </c>
      <c r="M646" t="s">
        <v>40</v>
      </c>
      <c r="N646" t="s">
        <v>74</v>
      </c>
      <c r="O646" t="s">
        <v>1319</v>
      </c>
      <c r="P646">
        <v>6.48</v>
      </c>
      <c r="Q646">
        <v>1</v>
      </c>
      <c r="R646">
        <v>0</v>
      </c>
      <c r="S646">
        <v>3.18</v>
      </c>
    </row>
    <row r="647" spans="1:19" x14ac:dyDescent="0.3">
      <c r="A647" t="s">
        <v>346</v>
      </c>
      <c r="B647">
        <v>2014</v>
      </c>
      <c r="C647" t="s">
        <v>76</v>
      </c>
      <c r="D647" s="1">
        <v>42156</v>
      </c>
      <c r="E647">
        <v>6</v>
      </c>
      <c r="F647" t="s">
        <v>45</v>
      </c>
      <c r="G647" t="s">
        <v>1320</v>
      </c>
      <c r="H647" t="s">
        <v>84</v>
      </c>
      <c r="I647" t="s">
        <v>23</v>
      </c>
      <c r="J647" t="s">
        <v>356</v>
      </c>
      <c r="K647" t="s">
        <v>201</v>
      </c>
      <c r="L647" t="s">
        <v>87</v>
      </c>
      <c r="M647" t="s">
        <v>40</v>
      </c>
      <c r="N647" t="s">
        <v>64</v>
      </c>
      <c r="O647" t="s">
        <v>1321</v>
      </c>
      <c r="P647">
        <v>209.3</v>
      </c>
      <c r="Q647">
        <v>2</v>
      </c>
      <c r="R647">
        <v>0</v>
      </c>
      <c r="S647">
        <v>56.51</v>
      </c>
    </row>
    <row r="648" spans="1:19" x14ac:dyDescent="0.3">
      <c r="A648" s="1">
        <v>41309</v>
      </c>
      <c r="B648">
        <v>2013</v>
      </c>
      <c r="C648" t="s">
        <v>69</v>
      </c>
      <c r="D648" s="1">
        <v>41521</v>
      </c>
      <c r="E648">
        <v>7</v>
      </c>
      <c r="F648" t="s">
        <v>45</v>
      </c>
      <c r="G648" t="s">
        <v>672</v>
      </c>
      <c r="H648" t="s">
        <v>36</v>
      </c>
      <c r="I648" t="s">
        <v>23</v>
      </c>
      <c r="J648" t="s">
        <v>1322</v>
      </c>
      <c r="K648" t="s">
        <v>236</v>
      </c>
      <c r="L648" t="s">
        <v>39</v>
      </c>
      <c r="M648" t="s">
        <v>40</v>
      </c>
      <c r="N648" t="s">
        <v>210</v>
      </c>
      <c r="O648" t="s">
        <v>150</v>
      </c>
      <c r="P648">
        <v>31.56</v>
      </c>
      <c r="Q648">
        <v>5</v>
      </c>
      <c r="R648">
        <v>0.2</v>
      </c>
      <c r="S648">
        <v>9.86</v>
      </c>
    </row>
    <row r="649" spans="1:19" x14ac:dyDescent="0.3">
      <c r="A649" s="1">
        <v>41309</v>
      </c>
      <c r="B649">
        <v>2013</v>
      </c>
      <c r="C649" t="s">
        <v>69</v>
      </c>
      <c r="D649" s="1">
        <v>41521</v>
      </c>
      <c r="E649">
        <v>7</v>
      </c>
      <c r="F649" t="s">
        <v>45</v>
      </c>
      <c r="G649" t="s">
        <v>672</v>
      </c>
      <c r="H649" t="s">
        <v>36</v>
      </c>
      <c r="I649" t="s">
        <v>23</v>
      </c>
      <c r="J649" t="s">
        <v>1322</v>
      </c>
      <c r="K649" t="s">
        <v>236</v>
      </c>
      <c r="L649" t="s">
        <v>39</v>
      </c>
      <c r="M649" t="s">
        <v>40</v>
      </c>
      <c r="N649" t="s">
        <v>64</v>
      </c>
      <c r="O649" t="s">
        <v>1323</v>
      </c>
      <c r="P649">
        <v>30.14</v>
      </c>
      <c r="Q649">
        <v>2</v>
      </c>
      <c r="R649">
        <v>0.2</v>
      </c>
      <c r="S649">
        <v>3.01</v>
      </c>
    </row>
    <row r="650" spans="1:19" x14ac:dyDescent="0.3">
      <c r="A650" s="1">
        <v>41620</v>
      </c>
      <c r="B650">
        <v>2013</v>
      </c>
      <c r="C650" t="s">
        <v>76</v>
      </c>
      <c r="D650" t="s">
        <v>1022</v>
      </c>
      <c r="E650">
        <v>5</v>
      </c>
      <c r="F650" t="s">
        <v>20</v>
      </c>
      <c r="G650" t="s">
        <v>1324</v>
      </c>
      <c r="H650" t="s">
        <v>36</v>
      </c>
      <c r="I650" t="s">
        <v>23</v>
      </c>
      <c r="J650" t="s">
        <v>1325</v>
      </c>
      <c r="K650" t="s">
        <v>79</v>
      </c>
      <c r="L650" t="s">
        <v>39</v>
      </c>
      <c r="M650" t="s">
        <v>27</v>
      </c>
      <c r="N650" t="s">
        <v>55</v>
      </c>
      <c r="O650" t="s">
        <v>871</v>
      </c>
      <c r="P650">
        <v>14.8</v>
      </c>
      <c r="Q650">
        <v>4</v>
      </c>
      <c r="R650">
        <v>0</v>
      </c>
      <c r="S650">
        <v>6.07</v>
      </c>
    </row>
    <row r="651" spans="1:19" x14ac:dyDescent="0.3">
      <c r="A651" s="1">
        <v>41620</v>
      </c>
      <c r="B651">
        <v>2013</v>
      </c>
      <c r="C651" t="s">
        <v>76</v>
      </c>
      <c r="D651" t="s">
        <v>1022</v>
      </c>
      <c r="E651">
        <v>5</v>
      </c>
      <c r="F651" t="s">
        <v>20</v>
      </c>
      <c r="G651" t="s">
        <v>1324</v>
      </c>
      <c r="H651" t="s">
        <v>36</v>
      </c>
      <c r="I651" t="s">
        <v>23</v>
      </c>
      <c r="J651" t="s">
        <v>1325</v>
      </c>
      <c r="K651" t="s">
        <v>79</v>
      </c>
      <c r="L651" t="s">
        <v>39</v>
      </c>
      <c r="M651" t="s">
        <v>59</v>
      </c>
      <c r="N651" t="s">
        <v>60</v>
      </c>
      <c r="O651" t="s">
        <v>501</v>
      </c>
      <c r="P651">
        <v>302.38</v>
      </c>
      <c r="Q651">
        <v>3</v>
      </c>
      <c r="R651">
        <v>0.2</v>
      </c>
      <c r="S651">
        <v>22.68</v>
      </c>
    </row>
    <row r="652" spans="1:19" x14ac:dyDescent="0.3">
      <c r="A652" s="1">
        <v>41620</v>
      </c>
      <c r="B652">
        <v>2013</v>
      </c>
      <c r="C652" t="s">
        <v>76</v>
      </c>
      <c r="D652" t="s">
        <v>1022</v>
      </c>
      <c r="E652">
        <v>5</v>
      </c>
      <c r="F652" t="s">
        <v>20</v>
      </c>
      <c r="G652" t="s">
        <v>1324</v>
      </c>
      <c r="H652" t="s">
        <v>36</v>
      </c>
      <c r="I652" t="s">
        <v>23</v>
      </c>
      <c r="J652" t="s">
        <v>1325</v>
      </c>
      <c r="K652" t="s">
        <v>79</v>
      </c>
      <c r="L652" t="s">
        <v>39</v>
      </c>
      <c r="M652" t="s">
        <v>59</v>
      </c>
      <c r="N652" t="s">
        <v>133</v>
      </c>
      <c r="O652" t="s">
        <v>1326</v>
      </c>
      <c r="P652">
        <v>316</v>
      </c>
      <c r="Q652">
        <v>4</v>
      </c>
      <c r="R652">
        <v>0</v>
      </c>
      <c r="S652">
        <v>31.6</v>
      </c>
    </row>
    <row r="653" spans="1:19" x14ac:dyDescent="0.3">
      <c r="A653" t="s">
        <v>1104</v>
      </c>
      <c r="B653">
        <v>2013</v>
      </c>
      <c r="C653" t="s">
        <v>43</v>
      </c>
      <c r="D653" t="s">
        <v>857</v>
      </c>
      <c r="E653">
        <v>6</v>
      </c>
      <c r="F653" t="s">
        <v>45</v>
      </c>
      <c r="G653" t="s">
        <v>1327</v>
      </c>
      <c r="H653" t="s">
        <v>84</v>
      </c>
      <c r="I653" t="s">
        <v>23</v>
      </c>
      <c r="J653" t="s">
        <v>208</v>
      </c>
      <c r="K653" t="s">
        <v>209</v>
      </c>
      <c r="L653" t="s">
        <v>121</v>
      </c>
      <c r="M653" t="s">
        <v>40</v>
      </c>
      <c r="N653" t="s">
        <v>74</v>
      </c>
      <c r="O653" t="s">
        <v>242</v>
      </c>
      <c r="P653">
        <v>379.4</v>
      </c>
      <c r="Q653">
        <v>10</v>
      </c>
      <c r="R653">
        <v>0</v>
      </c>
      <c r="S653">
        <v>178.32</v>
      </c>
    </row>
    <row r="654" spans="1:19" x14ac:dyDescent="0.3">
      <c r="A654" t="s">
        <v>798</v>
      </c>
      <c r="B654">
        <v>2014</v>
      </c>
      <c r="C654" t="s">
        <v>33</v>
      </c>
      <c r="D654" t="s">
        <v>1328</v>
      </c>
      <c r="E654">
        <v>4</v>
      </c>
      <c r="F654" t="s">
        <v>45</v>
      </c>
      <c r="G654" t="s">
        <v>850</v>
      </c>
      <c r="H654" t="s">
        <v>36</v>
      </c>
      <c r="I654" t="s">
        <v>23</v>
      </c>
      <c r="J654" t="s">
        <v>208</v>
      </c>
      <c r="K654" t="s">
        <v>209</v>
      </c>
      <c r="L654" t="s">
        <v>121</v>
      </c>
      <c r="M654" t="s">
        <v>40</v>
      </c>
      <c r="N654" t="s">
        <v>74</v>
      </c>
      <c r="O654" t="s">
        <v>228</v>
      </c>
      <c r="P654">
        <v>97.82</v>
      </c>
      <c r="Q654">
        <v>2</v>
      </c>
      <c r="R654">
        <v>0</v>
      </c>
      <c r="S654">
        <v>45.98</v>
      </c>
    </row>
    <row r="655" spans="1:19" x14ac:dyDescent="0.3">
      <c r="A655" t="s">
        <v>798</v>
      </c>
      <c r="B655">
        <v>2014</v>
      </c>
      <c r="C655" t="s">
        <v>33</v>
      </c>
      <c r="D655" t="s">
        <v>1328</v>
      </c>
      <c r="E655">
        <v>4</v>
      </c>
      <c r="F655" t="s">
        <v>45</v>
      </c>
      <c r="G655" t="s">
        <v>850</v>
      </c>
      <c r="H655" t="s">
        <v>36</v>
      </c>
      <c r="I655" t="s">
        <v>23</v>
      </c>
      <c r="J655" t="s">
        <v>208</v>
      </c>
      <c r="K655" t="s">
        <v>209</v>
      </c>
      <c r="L655" t="s">
        <v>121</v>
      </c>
      <c r="M655" t="s">
        <v>59</v>
      </c>
      <c r="N655" t="s">
        <v>133</v>
      </c>
      <c r="O655" t="s">
        <v>1329</v>
      </c>
      <c r="P655">
        <v>103.12</v>
      </c>
      <c r="Q655">
        <v>8</v>
      </c>
      <c r="R655">
        <v>0</v>
      </c>
      <c r="S655">
        <v>10.31</v>
      </c>
    </row>
    <row r="656" spans="1:19" x14ac:dyDescent="0.3">
      <c r="A656" t="s">
        <v>1330</v>
      </c>
      <c r="B656">
        <v>2013</v>
      </c>
      <c r="C656" t="s">
        <v>103</v>
      </c>
      <c r="D656" t="s">
        <v>1331</v>
      </c>
      <c r="E656">
        <v>6</v>
      </c>
      <c r="F656" t="s">
        <v>45</v>
      </c>
      <c r="G656" t="s">
        <v>1332</v>
      </c>
      <c r="H656" t="s">
        <v>22</v>
      </c>
      <c r="I656" t="s">
        <v>23</v>
      </c>
      <c r="J656" t="s">
        <v>356</v>
      </c>
      <c r="K656" t="s">
        <v>357</v>
      </c>
      <c r="L656" t="s">
        <v>121</v>
      </c>
      <c r="M656" t="s">
        <v>40</v>
      </c>
      <c r="N656" t="s">
        <v>64</v>
      </c>
      <c r="O656" t="s">
        <v>1333</v>
      </c>
      <c r="P656">
        <v>113.55</v>
      </c>
      <c r="Q656">
        <v>2</v>
      </c>
      <c r="R656">
        <v>0.2</v>
      </c>
      <c r="S656">
        <v>8.52</v>
      </c>
    </row>
    <row r="657" spans="1:19" x14ac:dyDescent="0.3">
      <c r="A657" t="s">
        <v>1330</v>
      </c>
      <c r="B657">
        <v>2013</v>
      </c>
      <c r="C657" t="s">
        <v>103</v>
      </c>
      <c r="D657" t="s">
        <v>1331</v>
      </c>
      <c r="E657">
        <v>6</v>
      </c>
      <c r="F657" t="s">
        <v>45</v>
      </c>
      <c r="G657" t="s">
        <v>1332</v>
      </c>
      <c r="H657" t="s">
        <v>22</v>
      </c>
      <c r="I657" t="s">
        <v>23</v>
      </c>
      <c r="J657" t="s">
        <v>356</v>
      </c>
      <c r="K657" t="s">
        <v>357</v>
      </c>
      <c r="L657" t="s">
        <v>121</v>
      </c>
      <c r="M657" t="s">
        <v>40</v>
      </c>
      <c r="N657" t="s">
        <v>62</v>
      </c>
      <c r="O657" t="s">
        <v>1334</v>
      </c>
      <c r="P657">
        <v>3.32</v>
      </c>
      <c r="Q657">
        <v>2</v>
      </c>
      <c r="R657">
        <v>0.7</v>
      </c>
      <c r="S657">
        <v>-2.65</v>
      </c>
    </row>
    <row r="658" spans="1:19" x14ac:dyDescent="0.3">
      <c r="A658" t="s">
        <v>1330</v>
      </c>
      <c r="B658">
        <v>2013</v>
      </c>
      <c r="C658" t="s">
        <v>103</v>
      </c>
      <c r="D658" t="s">
        <v>1331</v>
      </c>
      <c r="E658">
        <v>6</v>
      </c>
      <c r="F658" t="s">
        <v>45</v>
      </c>
      <c r="G658" t="s">
        <v>1332</v>
      </c>
      <c r="H658" t="s">
        <v>22</v>
      </c>
      <c r="I658" t="s">
        <v>23</v>
      </c>
      <c r="J658" t="s">
        <v>356</v>
      </c>
      <c r="K658" t="s">
        <v>357</v>
      </c>
      <c r="L658" t="s">
        <v>121</v>
      </c>
      <c r="M658" t="s">
        <v>40</v>
      </c>
      <c r="N658" t="s">
        <v>141</v>
      </c>
      <c r="O658" t="s">
        <v>1335</v>
      </c>
      <c r="P658">
        <v>134.29</v>
      </c>
      <c r="Q658">
        <v>2</v>
      </c>
      <c r="R658">
        <v>0.2</v>
      </c>
      <c r="S658">
        <v>45.32</v>
      </c>
    </row>
    <row r="659" spans="1:19" x14ac:dyDescent="0.3">
      <c r="A659" t="s">
        <v>1336</v>
      </c>
      <c r="B659">
        <v>2013</v>
      </c>
      <c r="C659" t="s">
        <v>124</v>
      </c>
      <c r="D659" t="s">
        <v>1336</v>
      </c>
      <c r="E659">
        <v>0</v>
      </c>
      <c r="F659" t="s">
        <v>828</v>
      </c>
      <c r="G659" t="s">
        <v>1337</v>
      </c>
      <c r="H659" t="s">
        <v>84</v>
      </c>
      <c r="I659" t="s">
        <v>23</v>
      </c>
      <c r="J659" t="s">
        <v>328</v>
      </c>
      <c r="K659" t="s">
        <v>166</v>
      </c>
      <c r="L659" t="s">
        <v>87</v>
      </c>
      <c r="M659" t="s">
        <v>27</v>
      </c>
      <c r="N659" t="s">
        <v>30</v>
      </c>
      <c r="O659" t="s">
        <v>1086</v>
      </c>
      <c r="P659">
        <v>701.37</v>
      </c>
      <c r="Q659">
        <v>2</v>
      </c>
      <c r="R659">
        <v>0.3</v>
      </c>
      <c r="S659">
        <v>-50.1</v>
      </c>
    </row>
    <row r="660" spans="1:19" x14ac:dyDescent="0.3">
      <c r="A660" t="s">
        <v>1336</v>
      </c>
      <c r="B660">
        <v>2013</v>
      </c>
      <c r="C660" t="s">
        <v>124</v>
      </c>
      <c r="D660" t="s">
        <v>1336</v>
      </c>
      <c r="E660">
        <v>0</v>
      </c>
      <c r="F660" t="s">
        <v>828</v>
      </c>
      <c r="G660" t="s">
        <v>1337</v>
      </c>
      <c r="H660" t="s">
        <v>84</v>
      </c>
      <c r="I660" t="s">
        <v>23</v>
      </c>
      <c r="J660" t="s">
        <v>328</v>
      </c>
      <c r="K660" t="s">
        <v>166</v>
      </c>
      <c r="L660" t="s">
        <v>87</v>
      </c>
      <c r="M660" t="s">
        <v>40</v>
      </c>
      <c r="N660" t="s">
        <v>62</v>
      </c>
      <c r="O660" t="s">
        <v>246</v>
      </c>
      <c r="P660">
        <v>2.31</v>
      </c>
      <c r="Q660">
        <v>2</v>
      </c>
      <c r="R660">
        <v>0.8</v>
      </c>
      <c r="S660">
        <v>-3.46</v>
      </c>
    </row>
    <row r="661" spans="1:19" x14ac:dyDescent="0.3">
      <c r="A661" t="s">
        <v>1338</v>
      </c>
      <c r="B661">
        <v>2012</v>
      </c>
      <c r="C661" t="s">
        <v>103</v>
      </c>
      <c r="D661" t="s">
        <v>1339</v>
      </c>
      <c r="E661">
        <v>4</v>
      </c>
      <c r="F661" t="s">
        <v>45</v>
      </c>
      <c r="G661" t="s">
        <v>528</v>
      </c>
      <c r="H661" t="s">
        <v>22</v>
      </c>
      <c r="I661" t="s">
        <v>23</v>
      </c>
      <c r="J661" t="s">
        <v>728</v>
      </c>
      <c r="K661" t="s">
        <v>86</v>
      </c>
      <c r="L661" t="s">
        <v>87</v>
      </c>
      <c r="M661" t="s">
        <v>40</v>
      </c>
      <c r="N661" t="s">
        <v>51</v>
      </c>
      <c r="O661" t="s">
        <v>1247</v>
      </c>
      <c r="P661">
        <v>999.43</v>
      </c>
      <c r="Q661">
        <v>7</v>
      </c>
      <c r="R661">
        <v>0.2</v>
      </c>
      <c r="S661">
        <v>124.93</v>
      </c>
    </row>
    <row r="662" spans="1:19" x14ac:dyDescent="0.3">
      <c r="A662" t="s">
        <v>1338</v>
      </c>
      <c r="B662">
        <v>2012</v>
      </c>
      <c r="C662" t="s">
        <v>103</v>
      </c>
      <c r="D662" t="s">
        <v>1339</v>
      </c>
      <c r="E662">
        <v>4</v>
      </c>
      <c r="F662" t="s">
        <v>45</v>
      </c>
      <c r="G662" t="s">
        <v>528</v>
      </c>
      <c r="H662" t="s">
        <v>22</v>
      </c>
      <c r="I662" t="s">
        <v>23</v>
      </c>
      <c r="J662" t="s">
        <v>728</v>
      </c>
      <c r="K662" t="s">
        <v>86</v>
      </c>
      <c r="L662" t="s">
        <v>87</v>
      </c>
      <c r="M662" t="s">
        <v>40</v>
      </c>
      <c r="N662" t="s">
        <v>51</v>
      </c>
      <c r="O662" t="s">
        <v>1340</v>
      </c>
      <c r="P662">
        <v>724.08</v>
      </c>
      <c r="Q662">
        <v>14</v>
      </c>
      <c r="R662">
        <v>0.2</v>
      </c>
      <c r="S662">
        <v>-135.77000000000001</v>
      </c>
    </row>
    <row r="663" spans="1:19" x14ac:dyDescent="0.3">
      <c r="A663" t="s">
        <v>1338</v>
      </c>
      <c r="B663">
        <v>2012</v>
      </c>
      <c r="C663" t="s">
        <v>103</v>
      </c>
      <c r="D663" t="s">
        <v>1339</v>
      </c>
      <c r="E663">
        <v>4</v>
      </c>
      <c r="F663" t="s">
        <v>45</v>
      </c>
      <c r="G663" t="s">
        <v>528</v>
      </c>
      <c r="H663" t="s">
        <v>22</v>
      </c>
      <c r="I663" t="s">
        <v>23</v>
      </c>
      <c r="J663" t="s">
        <v>728</v>
      </c>
      <c r="K663" t="s">
        <v>86</v>
      </c>
      <c r="L663" t="s">
        <v>87</v>
      </c>
      <c r="M663" t="s">
        <v>27</v>
      </c>
      <c r="N663" t="s">
        <v>49</v>
      </c>
      <c r="O663" t="s">
        <v>363</v>
      </c>
      <c r="P663">
        <v>918.79</v>
      </c>
      <c r="Q663">
        <v>5</v>
      </c>
      <c r="R663">
        <v>0.3</v>
      </c>
      <c r="S663">
        <v>-118.13</v>
      </c>
    </row>
    <row r="664" spans="1:19" x14ac:dyDescent="0.3">
      <c r="A664" t="s">
        <v>1338</v>
      </c>
      <c r="B664">
        <v>2012</v>
      </c>
      <c r="C664" t="s">
        <v>103</v>
      </c>
      <c r="D664" t="s">
        <v>1339</v>
      </c>
      <c r="E664">
        <v>4</v>
      </c>
      <c r="F664" t="s">
        <v>45</v>
      </c>
      <c r="G664" t="s">
        <v>528</v>
      </c>
      <c r="H664" t="s">
        <v>22</v>
      </c>
      <c r="I664" t="s">
        <v>23</v>
      </c>
      <c r="J664" t="s">
        <v>728</v>
      </c>
      <c r="K664" t="s">
        <v>86</v>
      </c>
      <c r="L664" t="s">
        <v>87</v>
      </c>
      <c r="M664" t="s">
        <v>40</v>
      </c>
      <c r="N664" t="s">
        <v>62</v>
      </c>
      <c r="O664" t="s">
        <v>353</v>
      </c>
      <c r="P664">
        <v>2.72</v>
      </c>
      <c r="Q664">
        <v>3</v>
      </c>
      <c r="R664">
        <v>0.8</v>
      </c>
      <c r="S664">
        <v>-4.22</v>
      </c>
    </row>
    <row r="665" spans="1:19" x14ac:dyDescent="0.3">
      <c r="A665" t="s">
        <v>1341</v>
      </c>
      <c r="B665">
        <v>2013</v>
      </c>
      <c r="C665" t="s">
        <v>177</v>
      </c>
      <c r="D665" t="s">
        <v>1342</v>
      </c>
      <c r="E665">
        <v>4</v>
      </c>
      <c r="F665" t="s">
        <v>45</v>
      </c>
      <c r="G665" t="s">
        <v>1343</v>
      </c>
      <c r="H665" t="s">
        <v>36</v>
      </c>
      <c r="I665" t="s">
        <v>23</v>
      </c>
      <c r="J665" t="s">
        <v>208</v>
      </c>
      <c r="K665" t="s">
        <v>209</v>
      </c>
      <c r="L665" t="s">
        <v>121</v>
      </c>
      <c r="M665" t="s">
        <v>40</v>
      </c>
      <c r="N665" t="s">
        <v>51</v>
      </c>
      <c r="O665" t="s">
        <v>565</v>
      </c>
      <c r="P665">
        <v>459.95</v>
      </c>
      <c r="Q665">
        <v>5</v>
      </c>
      <c r="R665">
        <v>0</v>
      </c>
      <c r="S665">
        <v>18.399999999999999</v>
      </c>
    </row>
    <row r="666" spans="1:19" x14ac:dyDescent="0.3">
      <c r="A666" s="1">
        <v>41405</v>
      </c>
      <c r="B666">
        <v>2013</v>
      </c>
      <c r="C666" t="s">
        <v>19</v>
      </c>
      <c r="D666" s="1">
        <v>41405</v>
      </c>
      <c r="E666">
        <v>0</v>
      </c>
      <c r="F666" t="s">
        <v>828</v>
      </c>
      <c r="G666" t="s">
        <v>644</v>
      </c>
      <c r="H666" t="s">
        <v>22</v>
      </c>
      <c r="I666" t="s">
        <v>23</v>
      </c>
      <c r="J666" t="s">
        <v>935</v>
      </c>
      <c r="K666" t="s">
        <v>25</v>
      </c>
      <c r="L666" t="s">
        <v>26</v>
      </c>
      <c r="M666" t="s">
        <v>40</v>
      </c>
      <c r="N666" t="s">
        <v>210</v>
      </c>
      <c r="O666" t="s">
        <v>358</v>
      </c>
      <c r="P666">
        <v>10.74</v>
      </c>
      <c r="Q666">
        <v>3</v>
      </c>
      <c r="R666">
        <v>0</v>
      </c>
      <c r="S666">
        <v>5.26</v>
      </c>
    </row>
    <row r="667" spans="1:19" x14ac:dyDescent="0.3">
      <c r="A667" s="1">
        <v>41888</v>
      </c>
      <c r="B667">
        <v>2014</v>
      </c>
      <c r="C667" t="s">
        <v>33</v>
      </c>
      <c r="D667" s="1">
        <v>41949</v>
      </c>
      <c r="E667">
        <v>2</v>
      </c>
      <c r="F667" t="s">
        <v>20</v>
      </c>
      <c r="G667" t="s">
        <v>1344</v>
      </c>
      <c r="H667" t="s">
        <v>36</v>
      </c>
      <c r="I667" t="s">
        <v>23</v>
      </c>
      <c r="J667" t="s">
        <v>552</v>
      </c>
      <c r="K667" t="s">
        <v>86</v>
      </c>
      <c r="L667" t="s">
        <v>87</v>
      </c>
      <c r="M667" t="s">
        <v>40</v>
      </c>
      <c r="N667" t="s">
        <v>402</v>
      </c>
      <c r="O667" t="s">
        <v>1345</v>
      </c>
      <c r="P667">
        <v>23.76</v>
      </c>
      <c r="Q667">
        <v>3</v>
      </c>
      <c r="R667">
        <v>0.2</v>
      </c>
      <c r="S667">
        <v>2.08</v>
      </c>
    </row>
    <row r="668" spans="1:19" x14ac:dyDescent="0.3">
      <c r="A668" s="1">
        <v>41888</v>
      </c>
      <c r="B668">
        <v>2014</v>
      </c>
      <c r="C668" t="s">
        <v>33</v>
      </c>
      <c r="D668" s="1">
        <v>41949</v>
      </c>
      <c r="E668">
        <v>2</v>
      </c>
      <c r="F668" t="s">
        <v>20</v>
      </c>
      <c r="G668" t="s">
        <v>1344</v>
      </c>
      <c r="H668" t="s">
        <v>36</v>
      </c>
      <c r="I668" t="s">
        <v>23</v>
      </c>
      <c r="J668" t="s">
        <v>552</v>
      </c>
      <c r="K668" t="s">
        <v>86</v>
      </c>
      <c r="L668" t="s">
        <v>87</v>
      </c>
      <c r="M668" t="s">
        <v>40</v>
      </c>
      <c r="N668" t="s">
        <v>74</v>
      </c>
      <c r="O668" t="s">
        <v>150</v>
      </c>
      <c r="P668">
        <v>85.06</v>
      </c>
      <c r="Q668">
        <v>3</v>
      </c>
      <c r="R668">
        <v>0.2</v>
      </c>
      <c r="S668">
        <v>28.71</v>
      </c>
    </row>
    <row r="669" spans="1:19" x14ac:dyDescent="0.3">
      <c r="A669" s="1">
        <v>41888</v>
      </c>
      <c r="B669">
        <v>2014</v>
      </c>
      <c r="C669" t="s">
        <v>33</v>
      </c>
      <c r="D669" s="1">
        <v>41949</v>
      </c>
      <c r="E669">
        <v>2</v>
      </c>
      <c r="F669" t="s">
        <v>20</v>
      </c>
      <c r="G669" t="s">
        <v>1344</v>
      </c>
      <c r="H669" t="s">
        <v>36</v>
      </c>
      <c r="I669" t="s">
        <v>23</v>
      </c>
      <c r="J669" t="s">
        <v>552</v>
      </c>
      <c r="K669" t="s">
        <v>86</v>
      </c>
      <c r="L669" t="s">
        <v>87</v>
      </c>
      <c r="M669" t="s">
        <v>59</v>
      </c>
      <c r="N669" t="s">
        <v>60</v>
      </c>
      <c r="O669" t="s">
        <v>1346</v>
      </c>
      <c r="P669">
        <v>381.58</v>
      </c>
      <c r="Q669">
        <v>3</v>
      </c>
      <c r="R669">
        <v>0.2</v>
      </c>
      <c r="S669">
        <v>28.62</v>
      </c>
    </row>
    <row r="670" spans="1:19" x14ac:dyDescent="0.3">
      <c r="A670" t="s">
        <v>899</v>
      </c>
      <c r="B670">
        <v>2011</v>
      </c>
      <c r="C670" t="s">
        <v>76</v>
      </c>
      <c r="D670" t="s">
        <v>373</v>
      </c>
      <c r="E670">
        <v>2</v>
      </c>
      <c r="F670" t="s">
        <v>151</v>
      </c>
      <c r="G670" t="s">
        <v>1347</v>
      </c>
      <c r="H670" t="s">
        <v>22</v>
      </c>
      <c r="I670" t="s">
        <v>23</v>
      </c>
      <c r="J670" t="s">
        <v>1348</v>
      </c>
      <c r="K670" t="s">
        <v>357</v>
      </c>
      <c r="L670" t="s">
        <v>121</v>
      </c>
      <c r="M670" t="s">
        <v>27</v>
      </c>
      <c r="N670" t="s">
        <v>55</v>
      </c>
      <c r="O670" t="s">
        <v>1349</v>
      </c>
      <c r="P670">
        <v>30.36</v>
      </c>
      <c r="Q670">
        <v>5</v>
      </c>
      <c r="R670">
        <v>0.2</v>
      </c>
      <c r="S670">
        <v>8.73</v>
      </c>
    </row>
    <row r="671" spans="1:19" x14ac:dyDescent="0.3">
      <c r="A671" s="1">
        <v>41918</v>
      </c>
      <c r="B671">
        <v>2014</v>
      </c>
      <c r="C671" t="s">
        <v>33</v>
      </c>
      <c r="D671" t="s">
        <v>1048</v>
      </c>
      <c r="E671">
        <v>4</v>
      </c>
      <c r="F671" t="s">
        <v>45</v>
      </c>
      <c r="G671" t="s">
        <v>1280</v>
      </c>
      <c r="H671" t="s">
        <v>84</v>
      </c>
      <c r="I671" t="s">
        <v>23</v>
      </c>
      <c r="J671" t="s">
        <v>232</v>
      </c>
      <c r="K671" t="s">
        <v>166</v>
      </c>
      <c r="L671" t="s">
        <v>87</v>
      </c>
      <c r="M671" t="s">
        <v>27</v>
      </c>
      <c r="N671" t="s">
        <v>55</v>
      </c>
      <c r="O671" t="s">
        <v>1350</v>
      </c>
      <c r="P671">
        <v>23.98</v>
      </c>
      <c r="Q671">
        <v>3</v>
      </c>
      <c r="R671">
        <v>0.6</v>
      </c>
      <c r="S671">
        <v>-14.39</v>
      </c>
    </row>
    <row r="672" spans="1:19" x14ac:dyDescent="0.3">
      <c r="A672" s="1">
        <v>41918</v>
      </c>
      <c r="B672">
        <v>2014</v>
      </c>
      <c r="C672" t="s">
        <v>33</v>
      </c>
      <c r="D672" t="s">
        <v>1048</v>
      </c>
      <c r="E672">
        <v>4</v>
      </c>
      <c r="F672" t="s">
        <v>45</v>
      </c>
      <c r="G672" t="s">
        <v>1280</v>
      </c>
      <c r="H672" t="s">
        <v>84</v>
      </c>
      <c r="I672" t="s">
        <v>23</v>
      </c>
      <c r="J672" t="s">
        <v>232</v>
      </c>
      <c r="K672" t="s">
        <v>166</v>
      </c>
      <c r="L672" t="s">
        <v>87</v>
      </c>
      <c r="M672" t="s">
        <v>27</v>
      </c>
      <c r="N672" t="s">
        <v>49</v>
      </c>
      <c r="O672" t="s">
        <v>1351</v>
      </c>
      <c r="P672">
        <v>108.93</v>
      </c>
      <c r="Q672">
        <v>1</v>
      </c>
      <c r="R672">
        <v>0.5</v>
      </c>
      <c r="S672">
        <v>-71.89</v>
      </c>
    </row>
    <row r="673" spans="1:19" x14ac:dyDescent="0.3">
      <c r="A673" s="1">
        <v>41918</v>
      </c>
      <c r="B673">
        <v>2014</v>
      </c>
      <c r="C673" t="s">
        <v>33</v>
      </c>
      <c r="D673" t="s">
        <v>1048</v>
      </c>
      <c r="E673">
        <v>4</v>
      </c>
      <c r="F673" t="s">
        <v>45</v>
      </c>
      <c r="G673" t="s">
        <v>1280</v>
      </c>
      <c r="H673" t="s">
        <v>84</v>
      </c>
      <c r="I673" t="s">
        <v>23</v>
      </c>
      <c r="J673" t="s">
        <v>232</v>
      </c>
      <c r="K673" t="s">
        <v>166</v>
      </c>
      <c r="L673" t="s">
        <v>87</v>
      </c>
      <c r="M673" t="s">
        <v>40</v>
      </c>
      <c r="N673" t="s">
        <v>74</v>
      </c>
      <c r="O673" t="s">
        <v>1352</v>
      </c>
      <c r="P673">
        <v>36.35</v>
      </c>
      <c r="Q673">
        <v>8</v>
      </c>
      <c r="R673">
        <v>0.2</v>
      </c>
      <c r="S673">
        <v>11.36</v>
      </c>
    </row>
    <row r="674" spans="1:19" x14ac:dyDescent="0.3">
      <c r="A674" t="s">
        <v>797</v>
      </c>
      <c r="B674">
        <v>2014</v>
      </c>
      <c r="C674" t="s">
        <v>33</v>
      </c>
      <c r="D674" t="s">
        <v>1353</v>
      </c>
      <c r="E674">
        <v>7</v>
      </c>
      <c r="F674" t="s">
        <v>45</v>
      </c>
      <c r="G674" t="s">
        <v>801</v>
      </c>
      <c r="H674" t="s">
        <v>22</v>
      </c>
      <c r="I674" t="s">
        <v>23</v>
      </c>
      <c r="J674" t="s">
        <v>847</v>
      </c>
      <c r="K674" t="s">
        <v>166</v>
      </c>
      <c r="L674" t="s">
        <v>87</v>
      </c>
      <c r="M674" t="s">
        <v>40</v>
      </c>
      <c r="N674" t="s">
        <v>57</v>
      </c>
      <c r="O674" t="s">
        <v>1354</v>
      </c>
      <c r="P674">
        <v>19.559999999999999</v>
      </c>
      <c r="Q674">
        <v>5</v>
      </c>
      <c r="R674">
        <v>0.2</v>
      </c>
      <c r="S674">
        <v>1.71</v>
      </c>
    </row>
    <row r="675" spans="1:19" x14ac:dyDescent="0.3">
      <c r="A675" s="1">
        <v>41802</v>
      </c>
      <c r="B675">
        <v>2014</v>
      </c>
      <c r="C675" t="s">
        <v>76</v>
      </c>
      <c r="D675" s="1">
        <v>41894</v>
      </c>
      <c r="E675">
        <v>3</v>
      </c>
      <c r="F675" t="s">
        <v>151</v>
      </c>
      <c r="G675" t="s">
        <v>1355</v>
      </c>
      <c r="H675" t="s">
        <v>22</v>
      </c>
      <c r="I675" t="s">
        <v>23</v>
      </c>
      <c r="J675" t="s">
        <v>356</v>
      </c>
      <c r="K675" t="s">
        <v>201</v>
      </c>
      <c r="L675" t="s">
        <v>87</v>
      </c>
      <c r="M675" t="s">
        <v>40</v>
      </c>
      <c r="N675" t="s">
        <v>64</v>
      </c>
      <c r="O675" t="s">
        <v>1356</v>
      </c>
      <c r="P675">
        <v>61.44</v>
      </c>
      <c r="Q675">
        <v>3</v>
      </c>
      <c r="R675">
        <v>0</v>
      </c>
      <c r="S675">
        <v>16.59</v>
      </c>
    </row>
    <row r="676" spans="1:19" x14ac:dyDescent="0.3">
      <c r="A676" s="1">
        <v>41802</v>
      </c>
      <c r="B676">
        <v>2014</v>
      </c>
      <c r="C676" t="s">
        <v>76</v>
      </c>
      <c r="D676" s="1">
        <v>41894</v>
      </c>
      <c r="E676">
        <v>3</v>
      </c>
      <c r="F676" t="s">
        <v>151</v>
      </c>
      <c r="G676" t="s">
        <v>1355</v>
      </c>
      <c r="H676" t="s">
        <v>22</v>
      </c>
      <c r="I676" t="s">
        <v>23</v>
      </c>
      <c r="J676" t="s">
        <v>356</v>
      </c>
      <c r="K676" t="s">
        <v>201</v>
      </c>
      <c r="L676" t="s">
        <v>87</v>
      </c>
      <c r="M676" t="s">
        <v>40</v>
      </c>
      <c r="N676" t="s">
        <v>74</v>
      </c>
      <c r="O676" t="s">
        <v>1357</v>
      </c>
      <c r="P676">
        <v>38.9</v>
      </c>
      <c r="Q676">
        <v>5</v>
      </c>
      <c r="R676">
        <v>0</v>
      </c>
      <c r="S676">
        <v>17.510000000000002</v>
      </c>
    </row>
    <row r="677" spans="1:19" x14ac:dyDescent="0.3">
      <c r="A677" s="1">
        <v>41802</v>
      </c>
      <c r="B677">
        <v>2014</v>
      </c>
      <c r="C677" t="s">
        <v>76</v>
      </c>
      <c r="D677" s="1">
        <v>41894</v>
      </c>
      <c r="E677">
        <v>3</v>
      </c>
      <c r="F677" t="s">
        <v>151</v>
      </c>
      <c r="G677" t="s">
        <v>1355</v>
      </c>
      <c r="H677" t="s">
        <v>22</v>
      </c>
      <c r="I677" t="s">
        <v>23</v>
      </c>
      <c r="J677" t="s">
        <v>356</v>
      </c>
      <c r="K677" t="s">
        <v>201</v>
      </c>
      <c r="L677" t="s">
        <v>87</v>
      </c>
      <c r="M677" t="s">
        <v>59</v>
      </c>
      <c r="N677" t="s">
        <v>133</v>
      </c>
      <c r="O677" t="s">
        <v>1125</v>
      </c>
      <c r="P677">
        <v>99.39</v>
      </c>
      <c r="Q677">
        <v>3</v>
      </c>
      <c r="R677">
        <v>0</v>
      </c>
      <c r="S677">
        <v>40.75</v>
      </c>
    </row>
    <row r="678" spans="1:19" x14ac:dyDescent="0.3">
      <c r="A678" t="s">
        <v>1358</v>
      </c>
      <c r="B678">
        <v>2014</v>
      </c>
      <c r="C678" t="s">
        <v>177</v>
      </c>
      <c r="D678" t="s">
        <v>1359</v>
      </c>
      <c r="E678">
        <v>5</v>
      </c>
      <c r="F678" t="s">
        <v>45</v>
      </c>
      <c r="G678" t="s">
        <v>1360</v>
      </c>
      <c r="H678" t="s">
        <v>22</v>
      </c>
      <c r="I678" t="s">
        <v>23</v>
      </c>
      <c r="J678" t="s">
        <v>1361</v>
      </c>
      <c r="K678" t="s">
        <v>86</v>
      </c>
      <c r="L678" t="s">
        <v>87</v>
      </c>
      <c r="M678" t="s">
        <v>40</v>
      </c>
      <c r="N678" t="s">
        <v>64</v>
      </c>
      <c r="O678" t="s">
        <v>1362</v>
      </c>
      <c r="P678">
        <v>2.69</v>
      </c>
      <c r="Q678">
        <v>3</v>
      </c>
      <c r="R678">
        <v>0.8</v>
      </c>
      <c r="S678">
        <v>-7.39</v>
      </c>
    </row>
    <row r="679" spans="1:19" x14ac:dyDescent="0.3">
      <c r="A679" t="s">
        <v>1358</v>
      </c>
      <c r="B679">
        <v>2014</v>
      </c>
      <c r="C679" t="s">
        <v>177</v>
      </c>
      <c r="D679" t="s">
        <v>1359</v>
      </c>
      <c r="E679">
        <v>5</v>
      </c>
      <c r="F679" t="s">
        <v>45</v>
      </c>
      <c r="G679" t="s">
        <v>1360</v>
      </c>
      <c r="H679" t="s">
        <v>22</v>
      </c>
      <c r="I679" t="s">
        <v>23</v>
      </c>
      <c r="J679" t="s">
        <v>1361</v>
      </c>
      <c r="K679" t="s">
        <v>86</v>
      </c>
      <c r="L679" t="s">
        <v>87</v>
      </c>
      <c r="M679" t="s">
        <v>59</v>
      </c>
      <c r="N679" t="s">
        <v>133</v>
      </c>
      <c r="O679" t="s">
        <v>1363</v>
      </c>
      <c r="P679">
        <v>27.82</v>
      </c>
      <c r="Q679">
        <v>3</v>
      </c>
      <c r="R679">
        <v>0.2</v>
      </c>
      <c r="S679">
        <v>4.5199999999999996</v>
      </c>
    </row>
    <row r="680" spans="1:19" x14ac:dyDescent="0.3">
      <c r="A680" t="s">
        <v>1358</v>
      </c>
      <c r="B680">
        <v>2014</v>
      </c>
      <c r="C680" t="s">
        <v>177</v>
      </c>
      <c r="D680" t="s">
        <v>1359</v>
      </c>
      <c r="E680">
        <v>5</v>
      </c>
      <c r="F680" t="s">
        <v>45</v>
      </c>
      <c r="G680" t="s">
        <v>1360</v>
      </c>
      <c r="H680" t="s">
        <v>22</v>
      </c>
      <c r="I680" t="s">
        <v>23</v>
      </c>
      <c r="J680" t="s">
        <v>1361</v>
      </c>
      <c r="K680" t="s">
        <v>86</v>
      </c>
      <c r="L680" t="s">
        <v>87</v>
      </c>
      <c r="M680" t="s">
        <v>27</v>
      </c>
      <c r="N680" t="s">
        <v>55</v>
      </c>
      <c r="O680" t="s">
        <v>1364</v>
      </c>
      <c r="P680">
        <v>82.52</v>
      </c>
      <c r="Q680">
        <v>3</v>
      </c>
      <c r="R680">
        <v>0.6</v>
      </c>
      <c r="S680">
        <v>-41.26</v>
      </c>
    </row>
    <row r="681" spans="1:19" x14ac:dyDescent="0.3">
      <c r="A681" t="s">
        <v>1358</v>
      </c>
      <c r="B681">
        <v>2014</v>
      </c>
      <c r="C681" t="s">
        <v>177</v>
      </c>
      <c r="D681" t="s">
        <v>1359</v>
      </c>
      <c r="E681">
        <v>5</v>
      </c>
      <c r="F681" t="s">
        <v>45</v>
      </c>
      <c r="G681" t="s">
        <v>1360</v>
      </c>
      <c r="H681" t="s">
        <v>22</v>
      </c>
      <c r="I681" t="s">
        <v>23</v>
      </c>
      <c r="J681" t="s">
        <v>1361</v>
      </c>
      <c r="K681" t="s">
        <v>86</v>
      </c>
      <c r="L681" t="s">
        <v>87</v>
      </c>
      <c r="M681" t="s">
        <v>40</v>
      </c>
      <c r="N681" t="s">
        <v>62</v>
      </c>
      <c r="O681" t="s">
        <v>1365</v>
      </c>
      <c r="P681">
        <v>182.99</v>
      </c>
      <c r="Q681">
        <v>3</v>
      </c>
      <c r="R681">
        <v>0.8</v>
      </c>
      <c r="S681">
        <v>-320.24</v>
      </c>
    </row>
    <row r="682" spans="1:19" x14ac:dyDescent="0.3">
      <c r="A682" t="s">
        <v>1366</v>
      </c>
      <c r="B682">
        <v>2013</v>
      </c>
      <c r="C682" t="s">
        <v>19</v>
      </c>
      <c r="D682" t="s">
        <v>444</v>
      </c>
      <c r="E682">
        <v>5</v>
      </c>
      <c r="F682" t="s">
        <v>45</v>
      </c>
      <c r="G682" t="s">
        <v>1367</v>
      </c>
      <c r="H682" t="s">
        <v>22</v>
      </c>
      <c r="I682" t="s">
        <v>23</v>
      </c>
      <c r="J682" t="s">
        <v>208</v>
      </c>
      <c r="K682" t="s">
        <v>209</v>
      </c>
      <c r="L682" t="s">
        <v>121</v>
      </c>
      <c r="M682" t="s">
        <v>40</v>
      </c>
      <c r="N682" t="s">
        <v>62</v>
      </c>
      <c r="O682" t="s">
        <v>1368</v>
      </c>
      <c r="P682">
        <v>14.35</v>
      </c>
      <c r="Q682">
        <v>3</v>
      </c>
      <c r="R682">
        <v>0.2</v>
      </c>
      <c r="S682">
        <v>4.66</v>
      </c>
    </row>
    <row r="683" spans="1:19" x14ac:dyDescent="0.3">
      <c r="A683" t="s">
        <v>1366</v>
      </c>
      <c r="B683">
        <v>2013</v>
      </c>
      <c r="C683" t="s">
        <v>19</v>
      </c>
      <c r="D683" t="s">
        <v>444</v>
      </c>
      <c r="E683">
        <v>5</v>
      </c>
      <c r="F683" t="s">
        <v>45</v>
      </c>
      <c r="G683" t="s">
        <v>1367</v>
      </c>
      <c r="H683" t="s">
        <v>22</v>
      </c>
      <c r="I683" t="s">
        <v>23</v>
      </c>
      <c r="J683" t="s">
        <v>208</v>
      </c>
      <c r="K683" t="s">
        <v>209</v>
      </c>
      <c r="L683" t="s">
        <v>121</v>
      </c>
      <c r="M683" t="s">
        <v>40</v>
      </c>
      <c r="N683" t="s">
        <v>51</v>
      </c>
      <c r="O683" t="s">
        <v>1369</v>
      </c>
      <c r="P683">
        <v>64.959999999999994</v>
      </c>
      <c r="Q683">
        <v>2</v>
      </c>
      <c r="R683">
        <v>0</v>
      </c>
      <c r="S683">
        <v>2.6</v>
      </c>
    </row>
    <row r="684" spans="1:19" x14ac:dyDescent="0.3">
      <c r="A684" t="s">
        <v>1366</v>
      </c>
      <c r="B684">
        <v>2013</v>
      </c>
      <c r="C684" t="s">
        <v>19</v>
      </c>
      <c r="D684" t="s">
        <v>444</v>
      </c>
      <c r="E684">
        <v>5</v>
      </c>
      <c r="F684" t="s">
        <v>45</v>
      </c>
      <c r="G684" t="s">
        <v>1367</v>
      </c>
      <c r="H684" t="s">
        <v>22</v>
      </c>
      <c r="I684" t="s">
        <v>23</v>
      </c>
      <c r="J684" t="s">
        <v>208</v>
      </c>
      <c r="K684" t="s">
        <v>209</v>
      </c>
      <c r="L684" t="s">
        <v>121</v>
      </c>
      <c r="M684" t="s">
        <v>40</v>
      </c>
      <c r="N684" t="s">
        <v>51</v>
      </c>
      <c r="O684" t="s">
        <v>1113</v>
      </c>
      <c r="P684">
        <v>68.599999999999994</v>
      </c>
      <c r="Q684">
        <v>4</v>
      </c>
      <c r="R684">
        <v>0</v>
      </c>
      <c r="S684">
        <v>18.52</v>
      </c>
    </row>
    <row r="685" spans="1:19" x14ac:dyDescent="0.3">
      <c r="A685" s="1">
        <v>41770</v>
      </c>
      <c r="B685">
        <v>2014</v>
      </c>
      <c r="C685" t="s">
        <v>19</v>
      </c>
      <c r="D685" s="1">
        <v>41770</v>
      </c>
      <c r="E685">
        <v>0</v>
      </c>
      <c r="F685" t="s">
        <v>828</v>
      </c>
      <c r="G685" t="s">
        <v>1370</v>
      </c>
      <c r="H685" t="s">
        <v>36</v>
      </c>
      <c r="I685" t="s">
        <v>23</v>
      </c>
      <c r="J685" t="s">
        <v>1371</v>
      </c>
      <c r="K685" t="s">
        <v>73</v>
      </c>
      <c r="L685" t="s">
        <v>26</v>
      </c>
      <c r="M685" t="s">
        <v>59</v>
      </c>
      <c r="N685" t="s">
        <v>465</v>
      </c>
      <c r="O685" t="s">
        <v>1372</v>
      </c>
      <c r="P685">
        <v>7999.98</v>
      </c>
      <c r="Q685">
        <v>4</v>
      </c>
      <c r="R685">
        <v>0.5</v>
      </c>
      <c r="S685">
        <v>-3839.99</v>
      </c>
    </row>
    <row r="686" spans="1:19" x14ac:dyDescent="0.3">
      <c r="A686" s="1">
        <v>41770</v>
      </c>
      <c r="B686">
        <v>2014</v>
      </c>
      <c r="C686" t="s">
        <v>19</v>
      </c>
      <c r="D686" s="1">
        <v>41770</v>
      </c>
      <c r="E686">
        <v>0</v>
      </c>
      <c r="F686" t="s">
        <v>828</v>
      </c>
      <c r="G686" t="s">
        <v>1370</v>
      </c>
      <c r="H686" t="s">
        <v>36</v>
      </c>
      <c r="I686" t="s">
        <v>23</v>
      </c>
      <c r="J686" t="s">
        <v>1371</v>
      </c>
      <c r="K686" t="s">
        <v>73</v>
      </c>
      <c r="L686" t="s">
        <v>26</v>
      </c>
      <c r="M686" t="s">
        <v>40</v>
      </c>
      <c r="N686" t="s">
        <v>64</v>
      </c>
      <c r="O686" t="s">
        <v>1321</v>
      </c>
      <c r="P686">
        <v>167.44</v>
      </c>
      <c r="Q686">
        <v>2</v>
      </c>
      <c r="R686">
        <v>0.2</v>
      </c>
      <c r="S686">
        <v>14.65</v>
      </c>
    </row>
    <row r="687" spans="1:19" x14ac:dyDescent="0.3">
      <c r="A687" s="1">
        <v>40670</v>
      </c>
      <c r="B687">
        <v>2011</v>
      </c>
      <c r="C687" t="s">
        <v>116</v>
      </c>
      <c r="D687" s="1">
        <v>40762</v>
      </c>
      <c r="E687">
        <v>3</v>
      </c>
      <c r="F687" t="s">
        <v>151</v>
      </c>
      <c r="G687" t="s">
        <v>1373</v>
      </c>
      <c r="H687" t="s">
        <v>22</v>
      </c>
      <c r="I687" t="s">
        <v>23</v>
      </c>
      <c r="J687" t="s">
        <v>249</v>
      </c>
      <c r="K687" t="s">
        <v>944</v>
      </c>
      <c r="L687" t="s">
        <v>26</v>
      </c>
      <c r="M687" t="s">
        <v>59</v>
      </c>
      <c r="N687" t="s">
        <v>133</v>
      </c>
      <c r="O687" t="s">
        <v>842</v>
      </c>
      <c r="P687">
        <v>479.97</v>
      </c>
      <c r="Q687">
        <v>3</v>
      </c>
      <c r="R687">
        <v>0</v>
      </c>
      <c r="S687">
        <v>163.19</v>
      </c>
    </row>
    <row r="688" spans="1:19" x14ac:dyDescent="0.3">
      <c r="A688" s="1">
        <v>40670</v>
      </c>
      <c r="B688">
        <v>2011</v>
      </c>
      <c r="C688" t="s">
        <v>116</v>
      </c>
      <c r="D688" s="1">
        <v>40762</v>
      </c>
      <c r="E688">
        <v>3</v>
      </c>
      <c r="F688" t="s">
        <v>151</v>
      </c>
      <c r="G688" t="s">
        <v>1373</v>
      </c>
      <c r="H688" t="s">
        <v>22</v>
      </c>
      <c r="I688" t="s">
        <v>23</v>
      </c>
      <c r="J688" t="s">
        <v>249</v>
      </c>
      <c r="K688" t="s">
        <v>944</v>
      </c>
      <c r="L688" t="s">
        <v>26</v>
      </c>
      <c r="M688" t="s">
        <v>40</v>
      </c>
      <c r="N688" t="s">
        <v>41</v>
      </c>
      <c r="O688" t="s">
        <v>1374</v>
      </c>
      <c r="P688">
        <v>14.62</v>
      </c>
      <c r="Q688">
        <v>2</v>
      </c>
      <c r="R688">
        <v>0</v>
      </c>
      <c r="S688">
        <v>6.87</v>
      </c>
    </row>
    <row r="689" spans="1:19" x14ac:dyDescent="0.3">
      <c r="A689" s="1">
        <v>40670</v>
      </c>
      <c r="B689">
        <v>2011</v>
      </c>
      <c r="C689" t="s">
        <v>116</v>
      </c>
      <c r="D689" s="1">
        <v>40762</v>
      </c>
      <c r="E689">
        <v>3</v>
      </c>
      <c r="F689" t="s">
        <v>151</v>
      </c>
      <c r="G689" t="s">
        <v>1373</v>
      </c>
      <c r="H689" t="s">
        <v>22</v>
      </c>
      <c r="I689" t="s">
        <v>23</v>
      </c>
      <c r="J689" t="s">
        <v>249</v>
      </c>
      <c r="K689" t="s">
        <v>944</v>
      </c>
      <c r="L689" t="s">
        <v>26</v>
      </c>
      <c r="M689" t="s">
        <v>40</v>
      </c>
      <c r="N689" t="s">
        <v>74</v>
      </c>
      <c r="O689" t="s">
        <v>297</v>
      </c>
      <c r="P689">
        <v>19.440000000000001</v>
      </c>
      <c r="Q689">
        <v>3</v>
      </c>
      <c r="R689">
        <v>0</v>
      </c>
      <c r="S689">
        <v>9.33</v>
      </c>
    </row>
    <row r="690" spans="1:19" x14ac:dyDescent="0.3">
      <c r="A690" t="s">
        <v>345</v>
      </c>
      <c r="B690">
        <v>2014</v>
      </c>
      <c r="C690" t="s">
        <v>76</v>
      </c>
      <c r="D690" t="s">
        <v>907</v>
      </c>
      <c r="E690">
        <v>4</v>
      </c>
      <c r="F690" t="s">
        <v>45</v>
      </c>
      <c r="G690" t="s">
        <v>1375</v>
      </c>
      <c r="H690" t="s">
        <v>22</v>
      </c>
      <c r="I690" t="s">
        <v>23</v>
      </c>
      <c r="J690" t="s">
        <v>208</v>
      </c>
      <c r="K690" t="s">
        <v>209</v>
      </c>
      <c r="L690" t="s">
        <v>121</v>
      </c>
      <c r="M690" t="s">
        <v>27</v>
      </c>
      <c r="N690" t="s">
        <v>28</v>
      </c>
      <c r="O690" t="s">
        <v>1376</v>
      </c>
      <c r="P690">
        <v>191.98</v>
      </c>
      <c r="Q690">
        <v>2</v>
      </c>
      <c r="R690">
        <v>0.2</v>
      </c>
      <c r="S690">
        <v>4.8</v>
      </c>
    </row>
    <row r="691" spans="1:19" x14ac:dyDescent="0.3">
      <c r="A691" t="s">
        <v>1377</v>
      </c>
      <c r="B691">
        <v>2011</v>
      </c>
      <c r="C691" t="s">
        <v>33</v>
      </c>
      <c r="D691" t="s">
        <v>1378</v>
      </c>
      <c r="E691">
        <v>2</v>
      </c>
      <c r="F691" t="s">
        <v>20</v>
      </c>
      <c r="G691" t="s">
        <v>1379</v>
      </c>
      <c r="H691" t="s">
        <v>22</v>
      </c>
      <c r="I691" t="s">
        <v>23</v>
      </c>
      <c r="J691" t="s">
        <v>1380</v>
      </c>
      <c r="K691" t="s">
        <v>241</v>
      </c>
      <c r="L691" t="s">
        <v>26</v>
      </c>
      <c r="M691" t="s">
        <v>27</v>
      </c>
      <c r="N691" t="s">
        <v>55</v>
      </c>
      <c r="O691" t="s">
        <v>1381</v>
      </c>
      <c r="P691">
        <v>104.01</v>
      </c>
      <c r="Q691">
        <v>1</v>
      </c>
      <c r="R691">
        <v>0</v>
      </c>
      <c r="S691">
        <v>14.56</v>
      </c>
    </row>
    <row r="692" spans="1:19" x14ac:dyDescent="0.3">
      <c r="A692" t="s">
        <v>1377</v>
      </c>
      <c r="B692">
        <v>2011</v>
      </c>
      <c r="C692" t="s">
        <v>33</v>
      </c>
      <c r="D692" t="s">
        <v>1378</v>
      </c>
      <c r="E692">
        <v>2</v>
      </c>
      <c r="F692" t="s">
        <v>20</v>
      </c>
      <c r="G692" t="s">
        <v>1379</v>
      </c>
      <c r="H692" t="s">
        <v>22</v>
      </c>
      <c r="I692" t="s">
        <v>23</v>
      </c>
      <c r="J692" t="s">
        <v>1380</v>
      </c>
      <c r="K692" t="s">
        <v>241</v>
      </c>
      <c r="L692" t="s">
        <v>26</v>
      </c>
      <c r="M692" t="s">
        <v>59</v>
      </c>
      <c r="N692" t="s">
        <v>60</v>
      </c>
      <c r="O692" t="s">
        <v>67</v>
      </c>
      <c r="P692">
        <v>284.82</v>
      </c>
      <c r="Q692">
        <v>1</v>
      </c>
      <c r="R692">
        <v>0</v>
      </c>
      <c r="S692">
        <v>74.05</v>
      </c>
    </row>
    <row r="693" spans="1:19" x14ac:dyDescent="0.3">
      <c r="A693" t="s">
        <v>1377</v>
      </c>
      <c r="B693">
        <v>2011</v>
      </c>
      <c r="C693" t="s">
        <v>33</v>
      </c>
      <c r="D693" t="s">
        <v>1378</v>
      </c>
      <c r="E693">
        <v>2</v>
      </c>
      <c r="F693" t="s">
        <v>20</v>
      </c>
      <c r="G693" t="s">
        <v>1379</v>
      </c>
      <c r="H693" t="s">
        <v>22</v>
      </c>
      <c r="I693" t="s">
        <v>23</v>
      </c>
      <c r="J693" t="s">
        <v>1380</v>
      </c>
      <c r="K693" t="s">
        <v>241</v>
      </c>
      <c r="L693" t="s">
        <v>26</v>
      </c>
      <c r="M693" t="s">
        <v>40</v>
      </c>
      <c r="N693" t="s">
        <v>51</v>
      </c>
      <c r="O693" t="s">
        <v>1382</v>
      </c>
      <c r="P693">
        <v>36.840000000000003</v>
      </c>
      <c r="Q693">
        <v>3</v>
      </c>
      <c r="R693">
        <v>0</v>
      </c>
      <c r="S693">
        <v>10.32</v>
      </c>
    </row>
    <row r="694" spans="1:19" x14ac:dyDescent="0.3">
      <c r="A694" t="s">
        <v>1383</v>
      </c>
      <c r="B694">
        <v>2012</v>
      </c>
      <c r="C694" t="s">
        <v>177</v>
      </c>
      <c r="D694" s="1">
        <v>40943</v>
      </c>
      <c r="E694">
        <v>5</v>
      </c>
      <c r="F694" t="s">
        <v>45</v>
      </c>
      <c r="G694" t="s">
        <v>1384</v>
      </c>
      <c r="H694" t="s">
        <v>22</v>
      </c>
      <c r="I694" t="s">
        <v>23</v>
      </c>
      <c r="J694" t="s">
        <v>37</v>
      </c>
      <c r="K694" t="s">
        <v>38</v>
      </c>
      <c r="L694" t="s">
        <v>39</v>
      </c>
      <c r="M694" t="s">
        <v>59</v>
      </c>
      <c r="N694" t="s">
        <v>133</v>
      </c>
      <c r="O694" t="s">
        <v>1385</v>
      </c>
      <c r="P694">
        <v>166.24</v>
      </c>
      <c r="Q694">
        <v>1</v>
      </c>
      <c r="R694">
        <v>0</v>
      </c>
      <c r="S694">
        <v>24.94</v>
      </c>
    </row>
    <row r="695" spans="1:19" x14ac:dyDescent="0.3">
      <c r="A695" t="s">
        <v>1383</v>
      </c>
      <c r="B695">
        <v>2012</v>
      </c>
      <c r="C695" t="s">
        <v>177</v>
      </c>
      <c r="D695" s="1">
        <v>40943</v>
      </c>
      <c r="E695">
        <v>5</v>
      </c>
      <c r="F695" t="s">
        <v>45</v>
      </c>
      <c r="G695" t="s">
        <v>1384</v>
      </c>
      <c r="H695" t="s">
        <v>22</v>
      </c>
      <c r="I695" t="s">
        <v>23</v>
      </c>
      <c r="J695" t="s">
        <v>37</v>
      </c>
      <c r="K695" t="s">
        <v>38</v>
      </c>
      <c r="L695" t="s">
        <v>39</v>
      </c>
      <c r="M695" t="s">
        <v>40</v>
      </c>
      <c r="N695" t="s">
        <v>74</v>
      </c>
      <c r="O695" t="s">
        <v>1386</v>
      </c>
      <c r="P695">
        <v>33.4</v>
      </c>
      <c r="Q695">
        <v>5</v>
      </c>
      <c r="R695">
        <v>0</v>
      </c>
      <c r="S695">
        <v>16.03</v>
      </c>
    </row>
    <row r="696" spans="1:19" x14ac:dyDescent="0.3">
      <c r="A696" t="s">
        <v>1387</v>
      </c>
      <c r="B696">
        <v>2012</v>
      </c>
      <c r="C696" t="s">
        <v>96</v>
      </c>
      <c r="D696" t="s">
        <v>1388</v>
      </c>
      <c r="E696">
        <v>3</v>
      </c>
      <c r="F696" t="s">
        <v>151</v>
      </c>
      <c r="G696" t="s">
        <v>1389</v>
      </c>
      <c r="H696" t="s">
        <v>84</v>
      </c>
      <c r="I696" t="s">
        <v>23</v>
      </c>
      <c r="J696" t="s">
        <v>1390</v>
      </c>
      <c r="K696" t="s">
        <v>120</v>
      </c>
      <c r="L696" t="s">
        <v>121</v>
      </c>
      <c r="M696" t="s">
        <v>40</v>
      </c>
      <c r="N696" t="s">
        <v>57</v>
      </c>
      <c r="O696" t="s">
        <v>748</v>
      </c>
      <c r="P696">
        <v>198.27</v>
      </c>
      <c r="Q696">
        <v>8</v>
      </c>
      <c r="R696">
        <v>0.2</v>
      </c>
      <c r="S696">
        <v>17.350000000000001</v>
      </c>
    </row>
    <row r="697" spans="1:19" x14ac:dyDescent="0.3">
      <c r="A697" t="s">
        <v>1387</v>
      </c>
      <c r="B697">
        <v>2012</v>
      </c>
      <c r="C697" t="s">
        <v>96</v>
      </c>
      <c r="D697" t="s">
        <v>1388</v>
      </c>
      <c r="E697">
        <v>3</v>
      </c>
      <c r="F697" t="s">
        <v>151</v>
      </c>
      <c r="G697" t="s">
        <v>1389</v>
      </c>
      <c r="H697" t="s">
        <v>84</v>
      </c>
      <c r="I697" t="s">
        <v>23</v>
      </c>
      <c r="J697" t="s">
        <v>1390</v>
      </c>
      <c r="K697" t="s">
        <v>120</v>
      </c>
      <c r="L697" t="s">
        <v>121</v>
      </c>
      <c r="M697" t="s">
        <v>40</v>
      </c>
      <c r="N697" t="s">
        <v>41</v>
      </c>
      <c r="O697" t="s">
        <v>1391</v>
      </c>
      <c r="P697">
        <v>47.36</v>
      </c>
      <c r="Q697">
        <v>4</v>
      </c>
      <c r="R697">
        <v>0.2</v>
      </c>
      <c r="S697">
        <v>17.760000000000002</v>
      </c>
    </row>
    <row r="698" spans="1:19" x14ac:dyDescent="0.3">
      <c r="A698" t="s">
        <v>1387</v>
      </c>
      <c r="B698">
        <v>2012</v>
      </c>
      <c r="C698" t="s">
        <v>96</v>
      </c>
      <c r="D698" t="s">
        <v>1388</v>
      </c>
      <c r="E698">
        <v>3</v>
      </c>
      <c r="F698" t="s">
        <v>151</v>
      </c>
      <c r="G698" t="s">
        <v>1389</v>
      </c>
      <c r="H698" t="s">
        <v>84</v>
      </c>
      <c r="I698" t="s">
        <v>23</v>
      </c>
      <c r="J698" t="s">
        <v>1390</v>
      </c>
      <c r="K698" t="s">
        <v>120</v>
      </c>
      <c r="L698" t="s">
        <v>121</v>
      </c>
      <c r="M698" t="s">
        <v>40</v>
      </c>
      <c r="N698" t="s">
        <v>141</v>
      </c>
      <c r="O698" t="s">
        <v>276</v>
      </c>
      <c r="P698">
        <v>200.98</v>
      </c>
      <c r="Q698">
        <v>7</v>
      </c>
      <c r="R698">
        <v>0.2</v>
      </c>
      <c r="S698">
        <v>62.81</v>
      </c>
    </row>
    <row r="699" spans="1:19" x14ac:dyDescent="0.3">
      <c r="A699" t="s">
        <v>1387</v>
      </c>
      <c r="B699">
        <v>2012</v>
      </c>
      <c r="C699" t="s">
        <v>96</v>
      </c>
      <c r="D699" t="s">
        <v>1388</v>
      </c>
      <c r="E699">
        <v>3</v>
      </c>
      <c r="F699" t="s">
        <v>151</v>
      </c>
      <c r="G699" t="s">
        <v>1389</v>
      </c>
      <c r="H699" t="s">
        <v>84</v>
      </c>
      <c r="I699" t="s">
        <v>23</v>
      </c>
      <c r="J699" t="s">
        <v>1390</v>
      </c>
      <c r="K699" t="s">
        <v>120</v>
      </c>
      <c r="L699" t="s">
        <v>121</v>
      </c>
      <c r="M699" t="s">
        <v>40</v>
      </c>
      <c r="N699" t="s">
        <v>41</v>
      </c>
      <c r="O699" t="s">
        <v>1392</v>
      </c>
      <c r="P699">
        <v>97.7</v>
      </c>
      <c r="Q699">
        <v>4</v>
      </c>
      <c r="R699">
        <v>0.2</v>
      </c>
      <c r="S699">
        <v>31.75</v>
      </c>
    </row>
    <row r="700" spans="1:19" x14ac:dyDescent="0.3">
      <c r="A700" t="s">
        <v>1387</v>
      </c>
      <c r="B700">
        <v>2012</v>
      </c>
      <c r="C700" t="s">
        <v>96</v>
      </c>
      <c r="D700" t="s">
        <v>1388</v>
      </c>
      <c r="E700">
        <v>3</v>
      </c>
      <c r="F700" t="s">
        <v>151</v>
      </c>
      <c r="G700" t="s">
        <v>1389</v>
      </c>
      <c r="H700" t="s">
        <v>84</v>
      </c>
      <c r="I700" t="s">
        <v>23</v>
      </c>
      <c r="J700" t="s">
        <v>1390</v>
      </c>
      <c r="K700" t="s">
        <v>120</v>
      </c>
      <c r="L700" t="s">
        <v>121</v>
      </c>
      <c r="M700" t="s">
        <v>40</v>
      </c>
      <c r="N700" t="s">
        <v>57</v>
      </c>
      <c r="O700" t="s">
        <v>1393</v>
      </c>
      <c r="P700">
        <v>2.7</v>
      </c>
      <c r="Q700">
        <v>1</v>
      </c>
      <c r="R700">
        <v>0.2</v>
      </c>
      <c r="S700">
        <v>0.81</v>
      </c>
    </row>
    <row r="701" spans="1:19" x14ac:dyDescent="0.3">
      <c r="A701" t="s">
        <v>1387</v>
      </c>
      <c r="B701">
        <v>2012</v>
      </c>
      <c r="C701" t="s">
        <v>96</v>
      </c>
      <c r="D701" t="s">
        <v>1388</v>
      </c>
      <c r="E701">
        <v>3</v>
      </c>
      <c r="F701" t="s">
        <v>151</v>
      </c>
      <c r="G701" t="s">
        <v>1389</v>
      </c>
      <c r="H701" t="s">
        <v>84</v>
      </c>
      <c r="I701" t="s">
        <v>23</v>
      </c>
      <c r="J701" t="s">
        <v>1390</v>
      </c>
      <c r="K701" t="s">
        <v>120</v>
      </c>
      <c r="L701" t="s">
        <v>121</v>
      </c>
      <c r="M701" t="s">
        <v>40</v>
      </c>
      <c r="N701" t="s">
        <v>62</v>
      </c>
      <c r="O701" t="s">
        <v>1394</v>
      </c>
      <c r="P701">
        <v>18.59</v>
      </c>
      <c r="Q701">
        <v>2</v>
      </c>
      <c r="R701">
        <v>0.7</v>
      </c>
      <c r="S701">
        <v>-13.63</v>
      </c>
    </row>
    <row r="702" spans="1:19" x14ac:dyDescent="0.3">
      <c r="A702" t="s">
        <v>1387</v>
      </c>
      <c r="B702">
        <v>2012</v>
      </c>
      <c r="C702" t="s">
        <v>96</v>
      </c>
      <c r="D702" t="s">
        <v>1388</v>
      </c>
      <c r="E702">
        <v>3</v>
      </c>
      <c r="F702" t="s">
        <v>151</v>
      </c>
      <c r="G702" t="s">
        <v>1389</v>
      </c>
      <c r="H702" t="s">
        <v>84</v>
      </c>
      <c r="I702" t="s">
        <v>23</v>
      </c>
      <c r="J702" t="s">
        <v>1390</v>
      </c>
      <c r="K702" t="s">
        <v>120</v>
      </c>
      <c r="L702" t="s">
        <v>121</v>
      </c>
      <c r="M702" t="s">
        <v>40</v>
      </c>
      <c r="N702" t="s">
        <v>62</v>
      </c>
      <c r="O702" t="s">
        <v>777</v>
      </c>
      <c r="P702">
        <v>4.9000000000000004</v>
      </c>
      <c r="Q702">
        <v>3</v>
      </c>
      <c r="R702">
        <v>0.7</v>
      </c>
      <c r="S702">
        <v>-3.43</v>
      </c>
    </row>
    <row r="703" spans="1:19" x14ac:dyDescent="0.3">
      <c r="A703" s="1">
        <v>41707</v>
      </c>
      <c r="B703">
        <v>2014</v>
      </c>
      <c r="C703" t="s">
        <v>124</v>
      </c>
      <c r="D703" s="1">
        <v>41891</v>
      </c>
      <c r="E703">
        <v>6</v>
      </c>
      <c r="F703" t="s">
        <v>45</v>
      </c>
      <c r="G703" t="s">
        <v>638</v>
      </c>
      <c r="H703" t="s">
        <v>36</v>
      </c>
      <c r="I703" t="s">
        <v>23</v>
      </c>
      <c r="J703" t="s">
        <v>1348</v>
      </c>
      <c r="K703" t="s">
        <v>357</v>
      </c>
      <c r="L703" t="s">
        <v>121</v>
      </c>
      <c r="M703" t="s">
        <v>27</v>
      </c>
      <c r="N703" t="s">
        <v>55</v>
      </c>
      <c r="O703" t="s">
        <v>555</v>
      </c>
      <c r="P703">
        <v>15.07</v>
      </c>
      <c r="Q703">
        <v>3</v>
      </c>
      <c r="R703">
        <v>0.2</v>
      </c>
      <c r="S703">
        <v>4.1399999999999997</v>
      </c>
    </row>
    <row r="704" spans="1:19" x14ac:dyDescent="0.3">
      <c r="A704" s="1">
        <v>41405</v>
      </c>
      <c r="B704">
        <v>2013</v>
      </c>
      <c r="C704" t="s">
        <v>19</v>
      </c>
      <c r="D704" s="1">
        <v>41528</v>
      </c>
      <c r="E704">
        <v>4</v>
      </c>
      <c r="F704" t="s">
        <v>20</v>
      </c>
      <c r="G704" t="s">
        <v>858</v>
      </c>
      <c r="H704" t="s">
        <v>36</v>
      </c>
      <c r="I704" t="s">
        <v>23</v>
      </c>
      <c r="J704" t="s">
        <v>78</v>
      </c>
      <c r="K704" t="s">
        <v>79</v>
      </c>
      <c r="L704" t="s">
        <v>39</v>
      </c>
      <c r="M704" t="s">
        <v>27</v>
      </c>
      <c r="N704" t="s">
        <v>55</v>
      </c>
      <c r="O704" t="s">
        <v>1395</v>
      </c>
      <c r="P704">
        <v>209.88</v>
      </c>
      <c r="Q704">
        <v>3</v>
      </c>
      <c r="R704">
        <v>0</v>
      </c>
      <c r="S704">
        <v>35.68</v>
      </c>
    </row>
    <row r="705" spans="1:19" x14ac:dyDescent="0.3">
      <c r="A705" s="1">
        <v>41156</v>
      </c>
      <c r="B705">
        <v>2012</v>
      </c>
      <c r="C705" t="s">
        <v>69</v>
      </c>
      <c r="D705" t="s">
        <v>1396</v>
      </c>
      <c r="E705">
        <v>5</v>
      </c>
      <c r="F705" t="s">
        <v>45</v>
      </c>
      <c r="G705" t="s">
        <v>1397</v>
      </c>
      <c r="H705" t="s">
        <v>22</v>
      </c>
      <c r="I705" t="s">
        <v>23</v>
      </c>
      <c r="J705" t="s">
        <v>755</v>
      </c>
      <c r="K705" t="s">
        <v>38</v>
      </c>
      <c r="L705" t="s">
        <v>39</v>
      </c>
      <c r="M705" t="s">
        <v>27</v>
      </c>
      <c r="N705" t="s">
        <v>49</v>
      </c>
      <c r="O705" t="s">
        <v>1398</v>
      </c>
      <c r="P705">
        <v>369.91</v>
      </c>
      <c r="Q705">
        <v>3</v>
      </c>
      <c r="R705">
        <v>0.2</v>
      </c>
      <c r="S705">
        <v>-13.87</v>
      </c>
    </row>
    <row r="706" spans="1:19" x14ac:dyDescent="0.3">
      <c r="A706" s="1">
        <v>40886</v>
      </c>
      <c r="B706">
        <v>2011</v>
      </c>
      <c r="C706" t="s">
        <v>124</v>
      </c>
      <c r="D706" t="s">
        <v>597</v>
      </c>
      <c r="E706">
        <v>5</v>
      </c>
      <c r="F706" t="s">
        <v>45</v>
      </c>
      <c r="G706" t="s">
        <v>1399</v>
      </c>
      <c r="H706" t="s">
        <v>36</v>
      </c>
      <c r="I706" t="s">
        <v>23</v>
      </c>
      <c r="J706" t="s">
        <v>1400</v>
      </c>
      <c r="K706" t="s">
        <v>73</v>
      </c>
      <c r="L706" t="s">
        <v>26</v>
      </c>
      <c r="M706" t="s">
        <v>40</v>
      </c>
      <c r="N706" t="s">
        <v>74</v>
      </c>
      <c r="O706" t="s">
        <v>1401</v>
      </c>
      <c r="P706">
        <v>10.37</v>
      </c>
      <c r="Q706">
        <v>2</v>
      </c>
      <c r="R706">
        <v>0.2</v>
      </c>
      <c r="S706">
        <v>3.63</v>
      </c>
    </row>
    <row r="707" spans="1:19" x14ac:dyDescent="0.3">
      <c r="A707" s="1">
        <v>40886</v>
      </c>
      <c r="B707">
        <v>2011</v>
      </c>
      <c r="C707" t="s">
        <v>124</v>
      </c>
      <c r="D707" t="s">
        <v>597</v>
      </c>
      <c r="E707">
        <v>5</v>
      </c>
      <c r="F707" t="s">
        <v>45</v>
      </c>
      <c r="G707" t="s">
        <v>1399</v>
      </c>
      <c r="H707" t="s">
        <v>36</v>
      </c>
      <c r="I707" t="s">
        <v>23</v>
      </c>
      <c r="J707" t="s">
        <v>1400</v>
      </c>
      <c r="K707" t="s">
        <v>73</v>
      </c>
      <c r="L707" t="s">
        <v>26</v>
      </c>
      <c r="M707" t="s">
        <v>40</v>
      </c>
      <c r="N707" t="s">
        <v>64</v>
      </c>
      <c r="O707" t="s">
        <v>1402</v>
      </c>
      <c r="P707">
        <v>166.84</v>
      </c>
      <c r="Q707">
        <v>5</v>
      </c>
      <c r="R707">
        <v>0.2</v>
      </c>
      <c r="S707">
        <v>18.77</v>
      </c>
    </row>
    <row r="708" spans="1:19" x14ac:dyDescent="0.3">
      <c r="A708" s="1">
        <v>40886</v>
      </c>
      <c r="B708">
        <v>2011</v>
      </c>
      <c r="C708" t="s">
        <v>124</v>
      </c>
      <c r="D708" t="s">
        <v>597</v>
      </c>
      <c r="E708">
        <v>5</v>
      </c>
      <c r="F708" t="s">
        <v>45</v>
      </c>
      <c r="G708" t="s">
        <v>1399</v>
      </c>
      <c r="H708" t="s">
        <v>36</v>
      </c>
      <c r="I708" t="s">
        <v>23</v>
      </c>
      <c r="J708" t="s">
        <v>1400</v>
      </c>
      <c r="K708" t="s">
        <v>73</v>
      </c>
      <c r="L708" t="s">
        <v>26</v>
      </c>
      <c r="M708" t="s">
        <v>59</v>
      </c>
      <c r="N708" t="s">
        <v>133</v>
      </c>
      <c r="O708" t="s">
        <v>1102</v>
      </c>
      <c r="P708">
        <v>15.22</v>
      </c>
      <c r="Q708">
        <v>1</v>
      </c>
      <c r="R708">
        <v>0.2</v>
      </c>
      <c r="S708">
        <v>2.2799999999999998</v>
      </c>
    </row>
    <row r="709" spans="1:19" x14ac:dyDescent="0.3">
      <c r="A709" s="1">
        <v>40586</v>
      </c>
      <c r="B709">
        <v>2011</v>
      </c>
      <c r="C709" t="s">
        <v>76</v>
      </c>
      <c r="D709" s="1">
        <v>40645</v>
      </c>
      <c r="E709">
        <v>2</v>
      </c>
      <c r="F709" t="s">
        <v>151</v>
      </c>
      <c r="G709" t="s">
        <v>1403</v>
      </c>
      <c r="H709" t="s">
        <v>22</v>
      </c>
      <c r="I709" t="s">
        <v>23</v>
      </c>
      <c r="J709" t="s">
        <v>208</v>
      </c>
      <c r="K709" t="s">
        <v>209</v>
      </c>
      <c r="L709" t="s">
        <v>121</v>
      </c>
      <c r="M709" t="s">
        <v>59</v>
      </c>
      <c r="N709" t="s">
        <v>133</v>
      </c>
      <c r="O709" t="s">
        <v>668</v>
      </c>
      <c r="P709">
        <v>119.96</v>
      </c>
      <c r="Q709">
        <v>4</v>
      </c>
      <c r="R709">
        <v>0</v>
      </c>
      <c r="S709">
        <v>52.78</v>
      </c>
    </row>
    <row r="710" spans="1:19" x14ac:dyDescent="0.3">
      <c r="A710" s="1">
        <v>40586</v>
      </c>
      <c r="B710">
        <v>2011</v>
      </c>
      <c r="C710" t="s">
        <v>76</v>
      </c>
      <c r="D710" s="1">
        <v>40645</v>
      </c>
      <c r="E710">
        <v>2</v>
      </c>
      <c r="F710" t="s">
        <v>151</v>
      </c>
      <c r="G710" t="s">
        <v>1403</v>
      </c>
      <c r="H710" t="s">
        <v>22</v>
      </c>
      <c r="I710" t="s">
        <v>23</v>
      </c>
      <c r="J710" t="s">
        <v>208</v>
      </c>
      <c r="K710" t="s">
        <v>209</v>
      </c>
      <c r="L710" t="s">
        <v>121</v>
      </c>
      <c r="M710" t="s">
        <v>27</v>
      </c>
      <c r="N710" t="s">
        <v>28</v>
      </c>
      <c r="O710" t="s">
        <v>1404</v>
      </c>
      <c r="P710">
        <v>883.92</v>
      </c>
      <c r="Q710">
        <v>5</v>
      </c>
      <c r="R710">
        <v>0.2</v>
      </c>
      <c r="S710">
        <v>-110.49</v>
      </c>
    </row>
    <row r="711" spans="1:19" x14ac:dyDescent="0.3">
      <c r="A711" s="1">
        <v>40586</v>
      </c>
      <c r="B711">
        <v>2011</v>
      </c>
      <c r="C711" t="s">
        <v>76</v>
      </c>
      <c r="D711" s="1">
        <v>40645</v>
      </c>
      <c r="E711">
        <v>2</v>
      </c>
      <c r="F711" t="s">
        <v>151</v>
      </c>
      <c r="G711" t="s">
        <v>1403</v>
      </c>
      <c r="H711" t="s">
        <v>22</v>
      </c>
      <c r="I711" t="s">
        <v>23</v>
      </c>
      <c r="J711" t="s">
        <v>208</v>
      </c>
      <c r="K711" t="s">
        <v>209</v>
      </c>
      <c r="L711" t="s">
        <v>121</v>
      </c>
      <c r="M711" t="s">
        <v>40</v>
      </c>
      <c r="N711" t="s">
        <v>62</v>
      </c>
      <c r="O711" t="s">
        <v>876</v>
      </c>
      <c r="P711">
        <v>46.72</v>
      </c>
      <c r="Q711">
        <v>8</v>
      </c>
      <c r="R711">
        <v>0.2</v>
      </c>
      <c r="S711">
        <v>15.77</v>
      </c>
    </row>
    <row r="712" spans="1:19" x14ac:dyDescent="0.3">
      <c r="A712" s="1">
        <v>40667</v>
      </c>
      <c r="B712">
        <v>2011</v>
      </c>
      <c r="C712" t="s">
        <v>69</v>
      </c>
      <c r="D712" s="1">
        <v>40728</v>
      </c>
      <c r="E712">
        <v>2</v>
      </c>
      <c r="F712" t="s">
        <v>151</v>
      </c>
      <c r="G712" t="s">
        <v>1405</v>
      </c>
      <c r="H712" t="s">
        <v>84</v>
      </c>
      <c r="I712" t="s">
        <v>23</v>
      </c>
      <c r="J712" t="s">
        <v>208</v>
      </c>
      <c r="K712" t="s">
        <v>209</v>
      </c>
      <c r="L712" t="s">
        <v>121</v>
      </c>
      <c r="M712" t="s">
        <v>40</v>
      </c>
      <c r="N712" t="s">
        <v>74</v>
      </c>
      <c r="O712" t="s">
        <v>1026</v>
      </c>
      <c r="P712">
        <v>55.48</v>
      </c>
      <c r="Q712">
        <v>1</v>
      </c>
      <c r="R712">
        <v>0</v>
      </c>
      <c r="S712">
        <v>26.63</v>
      </c>
    </row>
    <row r="713" spans="1:19" x14ac:dyDescent="0.3">
      <c r="A713" s="1">
        <v>41738</v>
      </c>
      <c r="B713">
        <v>2014</v>
      </c>
      <c r="C713" t="s">
        <v>124</v>
      </c>
      <c r="D713" s="1">
        <v>41860</v>
      </c>
      <c r="E713">
        <v>4</v>
      </c>
      <c r="F713" t="s">
        <v>45</v>
      </c>
      <c r="G713" t="s">
        <v>1406</v>
      </c>
      <c r="H713" t="s">
        <v>22</v>
      </c>
      <c r="I713" t="s">
        <v>23</v>
      </c>
      <c r="J713" t="s">
        <v>1407</v>
      </c>
      <c r="K713" t="s">
        <v>48</v>
      </c>
      <c r="L713" t="s">
        <v>26</v>
      </c>
      <c r="M713" t="s">
        <v>40</v>
      </c>
      <c r="N713" t="s">
        <v>141</v>
      </c>
      <c r="O713" t="s">
        <v>1408</v>
      </c>
      <c r="P713">
        <v>24.45</v>
      </c>
      <c r="Q713">
        <v>4</v>
      </c>
      <c r="R713">
        <v>0.2</v>
      </c>
      <c r="S713">
        <v>8.86</v>
      </c>
    </row>
    <row r="714" spans="1:19" x14ac:dyDescent="0.3">
      <c r="A714" t="s">
        <v>1282</v>
      </c>
      <c r="B714">
        <v>2014</v>
      </c>
      <c r="C714" t="s">
        <v>96</v>
      </c>
      <c r="D714" t="s">
        <v>1409</v>
      </c>
      <c r="E714">
        <v>5</v>
      </c>
      <c r="F714" t="s">
        <v>45</v>
      </c>
      <c r="G714" t="s">
        <v>1410</v>
      </c>
      <c r="H714" t="s">
        <v>36</v>
      </c>
      <c r="I714" t="s">
        <v>23</v>
      </c>
      <c r="J714" t="s">
        <v>1411</v>
      </c>
      <c r="K714" t="s">
        <v>209</v>
      </c>
      <c r="L714" t="s">
        <v>121</v>
      </c>
      <c r="M714" t="s">
        <v>40</v>
      </c>
      <c r="N714" t="s">
        <v>64</v>
      </c>
      <c r="O714" t="s">
        <v>1412</v>
      </c>
      <c r="P714">
        <v>281.33999999999997</v>
      </c>
      <c r="Q714">
        <v>6</v>
      </c>
      <c r="R714">
        <v>0</v>
      </c>
      <c r="S714">
        <v>109.72</v>
      </c>
    </row>
    <row r="715" spans="1:19" x14ac:dyDescent="0.3">
      <c r="A715" t="s">
        <v>1282</v>
      </c>
      <c r="B715">
        <v>2014</v>
      </c>
      <c r="C715" t="s">
        <v>96</v>
      </c>
      <c r="D715" t="s">
        <v>1409</v>
      </c>
      <c r="E715">
        <v>5</v>
      </c>
      <c r="F715" t="s">
        <v>45</v>
      </c>
      <c r="G715" t="s">
        <v>1410</v>
      </c>
      <c r="H715" t="s">
        <v>36</v>
      </c>
      <c r="I715" t="s">
        <v>23</v>
      </c>
      <c r="J715" t="s">
        <v>1411</v>
      </c>
      <c r="K715" t="s">
        <v>209</v>
      </c>
      <c r="L715" t="s">
        <v>121</v>
      </c>
      <c r="M715" t="s">
        <v>59</v>
      </c>
      <c r="N715" t="s">
        <v>60</v>
      </c>
      <c r="O715" t="s">
        <v>880</v>
      </c>
      <c r="P715">
        <v>307.98</v>
      </c>
      <c r="Q715">
        <v>2</v>
      </c>
      <c r="R715">
        <v>0</v>
      </c>
      <c r="S715">
        <v>89.31</v>
      </c>
    </row>
    <row r="716" spans="1:19" x14ac:dyDescent="0.3">
      <c r="A716" t="s">
        <v>1282</v>
      </c>
      <c r="B716">
        <v>2014</v>
      </c>
      <c r="C716" t="s">
        <v>96</v>
      </c>
      <c r="D716" t="s">
        <v>1409</v>
      </c>
      <c r="E716">
        <v>5</v>
      </c>
      <c r="F716" t="s">
        <v>45</v>
      </c>
      <c r="G716" t="s">
        <v>1410</v>
      </c>
      <c r="H716" t="s">
        <v>36</v>
      </c>
      <c r="I716" t="s">
        <v>23</v>
      </c>
      <c r="J716" t="s">
        <v>1411</v>
      </c>
      <c r="K716" t="s">
        <v>209</v>
      </c>
      <c r="L716" t="s">
        <v>121</v>
      </c>
      <c r="M716" t="s">
        <v>59</v>
      </c>
      <c r="N716" t="s">
        <v>133</v>
      </c>
      <c r="O716" t="s">
        <v>1413</v>
      </c>
      <c r="P716">
        <v>299.97000000000003</v>
      </c>
      <c r="Q716">
        <v>3</v>
      </c>
      <c r="R716">
        <v>0</v>
      </c>
      <c r="S716">
        <v>113.99</v>
      </c>
    </row>
    <row r="717" spans="1:19" x14ac:dyDescent="0.3">
      <c r="A717" s="1">
        <v>40550</v>
      </c>
      <c r="B717">
        <v>2011</v>
      </c>
      <c r="C717" t="s">
        <v>116</v>
      </c>
      <c r="D717" s="1">
        <v>40701</v>
      </c>
      <c r="E717">
        <v>5</v>
      </c>
      <c r="F717" t="s">
        <v>20</v>
      </c>
      <c r="G717" t="s">
        <v>638</v>
      </c>
      <c r="H717" t="s">
        <v>36</v>
      </c>
      <c r="I717" t="s">
        <v>23</v>
      </c>
      <c r="J717" t="s">
        <v>78</v>
      </c>
      <c r="K717" t="s">
        <v>79</v>
      </c>
      <c r="L717" t="s">
        <v>39</v>
      </c>
      <c r="M717" t="s">
        <v>40</v>
      </c>
      <c r="N717" t="s">
        <v>62</v>
      </c>
      <c r="O717" t="s">
        <v>1414</v>
      </c>
      <c r="P717">
        <v>19.920000000000002</v>
      </c>
      <c r="Q717">
        <v>5</v>
      </c>
      <c r="R717">
        <v>0.2</v>
      </c>
      <c r="S717">
        <v>6.97</v>
      </c>
    </row>
    <row r="718" spans="1:19" x14ac:dyDescent="0.3">
      <c r="A718" s="1">
        <v>40878</v>
      </c>
      <c r="B718">
        <v>2011</v>
      </c>
      <c r="C718" t="s">
        <v>129</v>
      </c>
      <c r="D718" t="s">
        <v>1415</v>
      </c>
      <c r="E718">
        <v>3</v>
      </c>
      <c r="F718" t="s">
        <v>151</v>
      </c>
      <c r="G718" t="s">
        <v>1416</v>
      </c>
      <c r="H718" t="s">
        <v>22</v>
      </c>
      <c r="I718" t="s">
        <v>23</v>
      </c>
      <c r="J718" t="s">
        <v>193</v>
      </c>
      <c r="K718" t="s">
        <v>194</v>
      </c>
      <c r="L718" t="s">
        <v>121</v>
      </c>
      <c r="M718" t="s">
        <v>27</v>
      </c>
      <c r="N718" t="s">
        <v>55</v>
      </c>
      <c r="O718" t="s">
        <v>1268</v>
      </c>
      <c r="P718">
        <v>9.94</v>
      </c>
      <c r="Q718">
        <v>2</v>
      </c>
      <c r="R718">
        <v>0</v>
      </c>
      <c r="S718">
        <v>3.08</v>
      </c>
    </row>
    <row r="719" spans="1:19" x14ac:dyDescent="0.3">
      <c r="A719" t="s">
        <v>1291</v>
      </c>
      <c r="B719">
        <v>2014</v>
      </c>
      <c r="C719" t="s">
        <v>124</v>
      </c>
      <c r="D719" t="s">
        <v>1417</v>
      </c>
      <c r="E719">
        <v>5</v>
      </c>
      <c r="F719" t="s">
        <v>45</v>
      </c>
      <c r="G719" t="s">
        <v>623</v>
      </c>
      <c r="H719" t="s">
        <v>22</v>
      </c>
      <c r="I719" t="s">
        <v>23</v>
      </c>
      <c r="J719" t="s">
        <v>421</v>
      </c>
      <c r="K719" t="s">
        <v>357</v>
      </c>
      <c r="L719" t="s">
        <v>121</v>
      </c>
      <c r="M719" t="s">
        <v>27</v>
      </c>
      <c r="N719" t="s">
        <v>55</v>
      </c>
      <c r="O719" t="s">
        <v>1418</v>
      </c>
      <c r="P719">
        <v>103.06</v>
      </c>
      <c r="Q719">
        <v>3</v>
      </c>
      <c r="R719">
        <v>0.2</v>
      </c>
      <c r="S719">
        <v>24.48</v>
      </c>
    </row>
    <row r="720" spans="1:19" x14ac:dyDescent="0.3">
      <c r="A720" s="1">
        <v>40580</v>
      </c>
      <c r="B720">
        <v>2011</v>
      </c>
      <c r="C720" t="s">
        <v>33</v>
      </c>
      <c r="D720" s="1">
        <v>40730</v>
      </c>
      <c r="E720">
        <v>5</v>
      </c>
      <c r="F720" t="s">
        <v>45</v>
      </c>
      <c r="G720" t="s">
        <v>1419</v>
      </c>
      <c r="H720" t="s">
        <v>84</v>
      </c>
      <c r="I720" t="s">
        <v>23</v>
      </c>
      <c r="J720" t="s">
        <v>127</v>
      </c>
      <c r="K720" t="s">
        <v>100</v>
      </c>
      <c r="L720" t="s">
        <v>39</v>
      </c>
      <c r="M720" t="s">
        <v>40</v>
      </c>
      <c r="N720" t="s">
        <v>62</v>
      </c>
      <c r="O720" t="s">
        <v>1085</v>
      </c>
      <c r="P720">
        <v>59.81</v>
      </c>
      <c r="Q720">
        <v>3</v>
      </c>
      <c r="R720">
        <v>0.2</v>
      </c>
      <c r="S720">
        <v>19.440000000000001</v>
      </c>
    </row>
    <row r="721" spans="1:19" x14ac:dyDescent="0.3">
      <c r="A721" s="1">
        <v>40580</v>
      </c>
      <c r="B721">
        <v>2011</v>
      </c>
      <c r="C721" t="s">
        <v>33</v>
      </c>
      <c r="D721" s="1">
        <v>40730</v>
      </c>
      <c r="E721">
        <v>5</v>
      </c>
      <c r="F721" t="s">
        <v>45</v>
      </c>
      <c r="G721" t="s">
        <v>1419</v>
      </c>
      <c r="H721" t="s">
        <v>84</v>
      </c>
      <c r="I721" t="s">
        <v>23</v>
      </c>
      <c r="J721" t="s">
        <v>127</v>
      </c>
      <c r="K721" t="s">
        <v>100</v>
      </c>
      <c r="L721" t="s">
        <v>39</v>
      </c>
      <c r="M721" t="s">
        <v>27</v>
      </c>
      <c r="N721" t="s">
        <v>55</v>
      </c>
      <c r="O721" t="s">
        <v>976</v>
      </c>
      <c r="P721">
        <v>73.319999999999993</v>
      </c>
      <c r="Q721">
        <v>6</v>
      </c>
      <c r="R721">
        <v>0</v>
      </c>
      <c r="S721">
        <v>22</v>
      </c>
    </row>
    <row r="722" spans="1:19" x14ac:dyDescent="0.3">
      <c r="A722" t="s">
        <v>1420</v>
      </c>
      <c r="B722">
        <v>2013</v>
      </c>
      <c r="C722" t="s">
        <v>389</v>
      </c>
      <c r="D722" t="s">
        <v>1421</v>
      </c>
      <c r="E722">
        <v>5</v>
      </c>
      <c r="F722" t="s">
        <v>45</v>
      </c>
      <c r="G722" t="s">
        <v>1422</v>
      </c>
      <c r="H722" t="s">
        <v>84</v>
      </c>
      <c r="I722" t="s">
        <v>23</v>
      </c>
      <c r="J722" t="s">
        <v>37</v>
      </c>
      <c r="K722" t="s">
        <v>38</v>
      </c>
      <c r="L722" t="s">
        <v>39</v>
      </c>
      <c r="M722" t="s">
        <v>40</v>
      </c>
      <c r="N722" t="s">
        <v>74</v>
      </c>
      <c r="O722" t="s">
        <v>1423</v>
      </c>
      <c r="P722">
        <v>146.82</v>
      </c>
      <c r="Q722">
        <v>3</v>
      </c>
      <c r="R722">
        <v>0</v>
      </c>
      <c r="S722">
        <v>73.41</v>
      </c>
    </row>
    <row r="723" spans="1:19" x14ac:dyDescent="0.3">
      <c r="A723" t="s">
        <v>620</v>
      </c>
      <c r="B723">
        <v>2013</v>
      </c>
      <c r="C723" t="s">
        <v>76</v>
      </c>
      <c r="D723" t="s">
        <v>1424</v>
      </c>
      <c r="E723">
        <v>4</v>
      </c>
      <c r="F723" t="s">
        <v>45</v>
      </c>
      <c r="G723" t="s">
        <v>937</v>
      </c>
      <c r="H723" t="s">
        <v>36</v>
      </c>
      <c r="I723" t="s">
        <v>23</v>
      </c>
      <c r="J723" t="s">
        <v>588</v>
      </c>
      <c r="K723" t="s">
        <v>188</v>
      </c>
      <c r="L723" t="s">
        <v>87</v>
      </c>
      <c r="M723" t="s">
        <v>27</v>
      </c>
      <c r="N723" t="s">
        <v>49</v>
      </c>
      <c r="O723" t="s">
        <v>1425</v>
      </c>
      <c r="P723">
        <v>1652.94</v>
      </c>
      <c r="Q723">
        <v>3</v>
      </c>
      <c r="R723">
        <v>0</v>
      </c>
      <c r="S723">
        <v>231.41</v>
      </c>
    </row>
    <row r="724" spans="1:19" x14ac:dyDescent="0.3">
      <c r="A724" t="s">
        <v>620</v>
      </c>
      <c r="B724">
        <v>2013</v>
      </c>
      <c r="C724" t="s">
        <v>76</v>
      </c>
      <c r="D724" t="s">
        <v>1424</v>
      </c>
      <c r="E724">
        <v>4</v>
      </c>
      <c r="F724" t="s">
        <v>45</v>
      </c>
      <c r="G724" t="s">
        <v>937</v>
      </c>
      <c r="H724" t="s">
        <v>36</v>
      </c>
      <c r="I724" t="s">
        <v>23</v>
      </c>
      <c r="J724" t="s">
        <v>588</v>
      </c>
      <c r="K724" t="s">
        <v>188</v>
      </c>
      <c r="L724" t="s">
        <v>87</v>
      </c>
      <c r="M724" t="s">
        <v>40</v>
      </c>
      <c r="N724" t="s">
        <v>51</v>
      </c>
      <c r="O724" t="s">
        <v>1426</v>
      </c>
      <c r="P724">
        <v>296.37</v>
      </c>
      <c r="Q724">
        <v>3</v>
      </c>
      <c r="R724">
        <v>0</v>
      </c>
      <c r="S724">
        <v>80.02</v>
      </c>
    </row>
    <row r="725" spans="1:19" x14ac:dyDescent="0.3">
      <c r="A725" s="1">
        <v>40734</v>
      </c>
      <c r="B725">
        <v>2011</v>
      </c>
      <c r="C725" t="s">
        <v>43</v>
      </c>
      <c r="D725" t="s">
        <v>1427</v>
      </c>
      <c r="E725">
        <v>6</v>
      </c>
      <c r="F725" t="s">
        <v>45</v>
      </c>
      <c r="G725" t="s">
        <v>1428</v>
      </c>
      <c r="H725" t="s">
        <v>84</v>
      </c>
      <c r="I725" t="s">
        <v>23</v>
      </c>
      <c r="J725" t="s">
        <v>119</v>
      </c>
      <c r="K725" t="s">
        <v>120</v>
      </c>
      <c r="L725" t="s">
        <v>121</v>
      </c>
      <c r="M725" t="s">
        <v>27</v>
      </c>
      <c r="N725" t="s">
        <v>55</v>
      </c>
      <c r="O725" t="s">
        <v>1429</v>
      </c>
      <c r="P725">
        <v>129.91999999999999</v>
      </c>
      <c r="Q725">
        <v>5</v>
      </c>
      <c r="R725">
        <v>0.2</v>
      </c>
      <c r="S725">
        <v>21.11</v>
      </c>
    </row>
    <row r="726" spans="1:19" x14ac:dyDescent="0.3">
      <c r="A726" s="1">
        <v>41493</v>
      </c>
      <c r="B726">
        <v>2013</v>
      </c>
      <c r="C726" t="s">
        <v>116</v>
      </c>
      <c r="D726" t="s">
        <v>1034</v>
      </c>
      <c r="E726">
        <v>5</v>
      </c>
      <c r="F726" t="s">
        <v>45</v>
      </c>
      <c r="G726" t="s">
        <v>1430</v>
      </c>
      <c r="H726" t="s">
        <v>36</v>
      </c>
      <c r="I726" t="s">
        <v>23</v>
      </c>
      <c r="J726" t="s">
        <v>1431</v>
      </c>
      <c r="K726" t="s">
        <v>48</v>
      </c>
      <c r="L726" t="s">
        <v>26</v>
      </c>
      <c r="M726" t="s">
        <v>40</v>
      </c>
      <c r="N726" t="s">
        <v>402</v>
      </c>
      <c r="O726" t="s">
        <v>1432</v>
      </c>
      <c r="P726">
        <v>45.58</v>
      </c>
      <c r="Q726">
        <v>7</v>
      </c>
      <c r="R726">
        <v>0.2</v>
      </c>
      <c r="S726">
        <v>5.13</v>
      </c>
    </row>
    <row r="727" spans="1:19" x14ac:dyDescent="0.3">
      <c r="A727" t="s">
        <v>671</v>
      </c>
      <c r="B727">
        <v>2014</v>
      </c>
      <c r="C727" t="s">
        <v>124</v>
      </c>
      <c r="D727" t="s">
        <v>1433</v>
      </c>
      <c r="E727">
        <v>4</v>
      </c>
      <c r="F727" t="s">
        <v>45</v>
      </c>
      <c r="G727" t="s">
        <v>1434</v>
      </c>
      <c r="H727" t="s">
        <v>22</v>
      </c>
      <c r="I727" t="s">
        <v>23</v>
      </c>
      <c r="J727" t="s">
        <v>796</v>
      </c>
      <c r="K727" t="s">
        <v>86</v>
      </c>
      <c r="L727" t="s">
        <v>87</v>
      </c>
      <c r="M727" t="s">
        <v>40</v>
      </c>
      <c r="N727" t="s">
        <v>141</v>
      </c>
      <c r="O727" t="s">
        <v>1435</v>
      </c>
      <c r="P727">
        <v>17.57</v>
      </c>
      <c r="Q727">
        <v>2</v>
      </c>
      <c r="R727">
        <v>0.2</v>
      </c>
      <c r="S727">
        <v>6.37</v>
      </c>
    </row>
    <row r="728" spans="1:19" x14ac:dyDescent="0.3">
      <c r="A728" t="s">
        <v>671</v>
      </c>
      <c r="B728">
        <v>2014</v>
      </c>
      <c r="C728" t="s">
        <v>124</v>
      </c>
      <c r="D728" t="s">
        <v>1433</v>
      </c>
      <c r="E728">
        <v>4</v>
      </c>
      <c r="F728" t="s">
        <v>45</v>
      </c>
      <c r="G728" t="s">
        <v>1434</v>
      </c>
      <c r="H728" t="s">
        <v>22</v>
      </c>
      <c r="I728" t="s">
        <v>23</v>
      </c>
      <c r="J728" t="s">
        <v>796</v>
      </c>
      <c r="K728" t="s">
        <v>86</v>
      </c>
      <c r="L728" t="s">
        <v>87</v>
      </c>
      <c r="M728" t="s">
        <v>59</v>
      </c>
      <c r="N728" t="s">
        <v>60</v>
      </c>
      <c r="O728" t="s">
        <v>1436</v>
      </c>
      <c r="P728">
        <v>55.99</v>
      </c>
      <c r="Q728">
        <v>1</v>
      </c>
      <c r="R728">
        <v>0.2</v>
      </c>
      <c r="S728">
        <v>5.6</v>
      </c>
    </row>
    <row r="729" spans="1:19" x14ac:dyDescent="0.3">
      <c r="A729" s="1">
        <v>41376</v>
      </c>
      <c r="B729">
        <v>2013</v>
      </c>
      <c r="C729" t="s">
        <v>76</v>
      </c>
      <c r="D729" s="1">
        <v>41467</v>
      </c>
      <c r="E729">
        <v>3</v>
      </c>
      <c r="F729" t="s">
        <v>151</v>
      </c>
      <c r="G729" t="s">
        <v>1437</v>
      </c>
      <c r="H729" t="s">
        <v>22</v>
      </c>
      <c r="I729" t="s">
        <v>23</v>
      </c>
      <c r="J729" t="s">
        <v>1438</v>
      </c>
      <c r="K729" t="s">
        <v>209</v>
      </c>
      <c r="L729" t="s">
        <v>121</v>
      </c>
      <c r="M729" t="s">
        <v>40</v>
      </c>
      <c r="N729" t="s">
        <v>74</v>
      </c>
      <c r="O729" t="s">
        <v>1439</v>
      </c>
      <c r="P729">
        <v>182.72</v>
      </c>
      <c r="Q729">
        <v>8</v>
      </c>
      <c r="R729">
        <v>0</v>
      </c>
      <c r="S729">
        <v>84.05</v>
      </c>
    </row>
    <row r="730" spans="1:19" x14ac:dyDescent="0.3">
      <c r="A730" s="1">
        <v>41376</v>
      </c>
      <c r="B730">
        <v>2013</v>
      </c>
      <c r="C730" t="s">
        <v>76</v>
      </c>
      <c r="D730" s="1">
        <v>41467</v>
      </c>
      <c r="E730">
        <v>3</v>
      </c>
      <c r="F730" t="s">
        <v>151</v>
      </c>
      <c r="G730" t="s">
        <v>1437</v>
      </c>
      <c r="H730" t="s">
        <v>22</v>
      </c>
      <c r="I730" t="s">
        <v>23</v>
      </c>
      <c r="J730" t="s">
        <v>1438</v>
      </c>
      <c r="K730" t="s">
        <v>209</v>
      </c>
      <c r="L730" t="s">
        <v>121</v>
      </c>
      <c r="M730" t="s">
        <v>27</v>
      </c>
      <c r="N730" t="s">
        <v>49</v>
      </c>
      <c r="O730" t="s">
        <v>1440</v>
      </c>
      <c r="P730">
        <v>400.03</v>
      </c>
      <c r="Q730">
        <v>2</v>
      </c>
      <c r="R730">
        <v>0.4</v>
      </c>
      <c r="S730">
        <v>-153.35</v>
      </c>
    </row>
    <row r="731" spans="1:19" x14ac:dyDescent="0.3">
      <c r="A731" s="1">
        <v>41376</v>
      </c>
      <c r="B731">
        <v>2013</v>
      </c>
      <c r="C731" t="s">
        <v>76</v>
      </c>
      <c r="D731" s="1">
        <v>41467</v>
      </c>
      <c r="E731">
        <v>3</v>
      </c>
      <c r="F731" t="s">
        <v>151</v>
      </c>
      <c r="G731" t="s">
        <v>1437</v>
      </c>
      <c r="H731" t="s">
        <v>22</v>
      </c>
      <c r="I731" t="s">
        <v>23</v>
      </c>
      <c r="J731" t="s">
        <v>1438</v>
      </c>
      <c r="K731" t="s">
        <v>209</v>
      </c>
      <c r="L731" t="s">
        <v>121</v>
      </c>
      <c r="M731" t="s">
        <v>40</v>
      </c>
      <c r="N731" t="s">
        <v>51</v>
      </c>
      <c r="O731" t="s">
        <v>1441</v>
      </c>
      <c r="P731">
        <v>33.630000000000003</v>
      </c>
      <c r="Q731">
        <v>3</v>
      </c>
      <c r="R731">
        <v>0</v>
      </c>
      <c r="S731">
        <v>10.09</v>
      </c>
    </row>
    <row r="732" spans="1:19" x14ac:dyDescent="0.3">
      <c r="A732" s="1">
        <v>41376</v>
      </c>
      <c r="B732">
        <v>2013</v>
      </c>
      <c r="C732" t="s">
        <v>76</v>
      </c>
      <c r="D732" s="1">
        <v>41467</v>
      </c>
      <c r="E732">
        <v>3</v>
      </c>
      <c r="F732" t="s">
        <v>151</v>
      </c>
      <c r="G732" t="s">
        <v>1437</v>
      </c>
      <c r="H732" t="s">
        <v>22</v>
      </c>
      <c r="I732" t="s">
        <v>23</v>
      </c>
      <c r="J732" t="s">
        <v>1438</v>
      </c>
      <c r="K732" t="s">
        <v>209</v>
      </c>
      <c r="L732" t="s">
        <v>121</v>
      </c>
      <c r="M732" t="s">
        <v>27</v>
      </c>
      <c r="N732" t="s">
        <v>30</v>
      </c>
      <c r="O732" t="s">
        <v>622</v>
      </c>
      <c r="P732">
        <v>542.65</v>
      </c>
      <c r="Q732">
        <v>3</v>
      </c>
      <c r="R732">
        <v>0.1</v>
      </c>
      <c r="S732">
        <v>102.5</v>
      </c>
    </row>
    <row r="733" spans="1:19" x14ac:dyDescent="0.3">
      <c r="A733" s="1">
        <v>41376</v>
      </c>
      <c r="B733">
        <v>2013</v>
      </c>
      <c r="C733" t="s">
        <v>76</v>
      </c>
      <c r="D733" s="1">
        <v>41467</v>
      </c>
      <c r="E733">
        <v>3</v>
      </c>
      <c r="F733" t="s">
        <v>151</v>
      </c>
      <c r="G733" t="s">
        <v>1437</v>
      </c>
      <c r="H733" t="s">
        <v>22</v>
      </c>
      <c r="I733" t="s">
        <v>23</v>
      </c>
      <c r="J733" t="s">
        <v>1438</v>
      </c>
      <c r="K733" t="s">
        <v>209</v>
      </c>
      <c r="L733" t="s">
        <v>121</v>
      </c>
      <c r="M733" t="s">
        <v>40</v>
      </c>
      <c r="N733" t="s">
        <v>41</v>
      </c>
      <c r="O733" t="s">
        <v>981</v>
      </c>
      <c r="P733">
        <v>6.3</v>
      </c>
      <c r="Q733">
        <v>2</v>
      </c>
      <c r="R733">
        <v>0</v>
      </c>
      <c r="S733">
        <v>3.02</v>
      </c>
    </row>
    <row r="734" spans="1:19" x14ac:dyDescent="0.3">
      <c r="A734" t="s">
        <v>1442</v>
      </c>
      <c r="B734">
        <v>2014</v>
      </c>
      <c r="C734" t="s">
        <v>129</v>
      </c>
      <c r="D734" t="s">
        <v>1120</v>
      </c>
      <c r="E734">
        <v>4</v>
      </c>
      <c r="F734" t="s">
        <v>45</v>
      </c>
      <c r="G734" t="s">
        <v>1443</v>
      </c>
      <c r="H734" t="s">
        <v>84</v>
      </c>
      <c r="I734" t="s">
        <v>23</v>
      </c>
      <c r="J734" t="s">
        <v>78</v>
      </c>
      <c r="K734" t="s">
        <v>79</v>
      </c>
      <c r="L734" t="s">
        <v>39</v>
      </c>
      <c r="M734" t="s">
        <v>40</v>
      </c>
      <c r="N734" t="s">
        <v>51</v>
      </c>
      <c r="O734" t="s">
        <v>1118</v>
      </c>
      <c r="P734">
        <v>242.94</v>
      </c>
      <c r="Q734">
        <v>3</v>
      </c>
      <c r="R734">
        <v>0</v>
      </c>
      <c r="S734">
        <v>9.7200000000000006</v>
      </c>
    </row>
    <row r="735" spans="1:19" x14ac:dyDescent="0.3">
      <c r="A735" t="s">
        <v>1442</v>
      </c>
      <c r="B735">
        <v>2014</v>
      </c>
      <c r="C735" t="s">
        <v>129</v>
      </c>
      <c r="D735" t="s">
        <v>1120</v>
      </c>
      <c r="E735">
        <v>4</v>
      </c>
      <c r="F735" t="s">
        <v>45</v>
      </c>
      <c r="G735" t="s">
        <v>1443</v>
      </c>
      <c r="H735" t="s">
        <v>84</v>
      </c>
      <c r="I735" t="s">
        <v>23</v>
      </c>
      <c r="J735" t="s">
        <v>78</v>
      </c>
      <c r="K735" t="s">
        <v>79</v>
      </c>
      <c r="L735" t="s">
        <v>39</v>
      </c>
      <c r="M735" t="s">
        <v>59</v>
      </c>
      <c r="N735" t="s">
        <v>133</v>
      </c>
      <c r="O735" t="s">
        <v>1444</v>
      </c>
      <c r="P735">
        <v>179.97</v>
      </c>
      <c r="Q735">
        <v>3</v>
      </c>
      <c r="R735">
        <v>0</v>
      </c>
      <c r="S735">
        <v>86.39</v>
      </c>
    </row>
    <row r="736" spans="1:19" x14ac:dyDescent="0.3">
      <c r="A736" t="s">
        <v>1442</v>
      </c>
      <c r="B736">
        <v>2014</v>
      </c>
      <c r="C736" t="s">
        <v>129</v>
      </c>
      <c r="D736" t="s">
        <v>1120</v>
      </c>
      <c r="E736">
        <v>4</v>
      </c>
      <c r="F736" t="s">
        <v>45</v>
      </c>
      <c r="G736" t="s">
        <v>1443</v>
      </c>
      <c r="H736" t="s">
        <v>84</v>
      </c>
      <c r="I736" t="s">
        <v>23</v>
      </c>
      <c r="J736" t="s">
        <v>78</v>
      </c>
      <c r="K736" t="s">
        <v>79</v>
      </c>
      <c r="L736" t="s">
        <v>39</v>
      </c>
      <c r="M736" t="s">
        <v>40</v>
      </c>
      <c r="N736" t="s">
        <v>62</v>
      </c>
      <c r="O736" t="s">
        <v>884</v>
      </c>
      <c r="P736">
        <v>99.7</v>
      </c>
      <c r="Q736">
        <v>6</v>
      </c>
      <c r="R736">
        <v>0.2</v>
      </c>
      <c r="S736">
        <v>33.65</v>
      </c>
    </row>
    <row r="737" spans="1:19" x14ac:dyDescent="0.3">
      <c r="A737" t="s">
        <v>1442</v>
      </c>
      <c r="B737">
        <v>2014</v>
      </c>
      <c r="C737" t="s">
        <v>129</v>
      </c>
      <c r="D737" t="s">
        <v>1120</v>
      </c>
      <c r="E737">
        <v>4</v>
      </c>
      <c r="F737" t="s">
        <v>45</v>
      </c>
      <c r="G737" t="s">
        <v>1443</v>
      </c>
      <c r="H737" t="s">
        <v>84</v>
      </c>
      <c r="I737" t="s">
        <v>23</v>
      </c>
      <c r="J737" t="s">
        <v>78</v>
      </c>
      <c r="K737" t="s">
        <v>79</v>
      </c>
      <c r="L737" t="s">
        <v>39</v>
      </c>
      <c r="M737" t="s">
        <v>40</v>
      </c>
      <c r="N737" t="s">
        <v>62</v>
      </c>
      <c r="O737" t="s">
        <v>183</v>
      </c>
      <c r="P737">
        <v>27.94</v>
      </c>
      <c r="Q737">
        <v>4</v>
      </c>
      <c r="R737">
        <v>0.2</v>
      </c>
      <c r="S737">
        <v>9.43</v>
      </c>
    </row>
    <row r="738" spans="1:19" x14ac:dyDescent="0.3">
      <c r="A738" t="s">
        <v>1442</v>
      </c>
      <c r="B738">
        <v>2014</v>
      </c>
      <c r="C738" t="s">
        <v>129</v>
      </c>
      <c r="D738" t="s">
        <v>1120</v>
      </c>
      <c r="E738">
        <v>4</v>
      </c>
      <c r="F738" t="s">
        <v>45</v>
      </c>
      <c r="G738" t="s">
        <v>1443</v>
      </c>
      <c r="H738" t="s">
        <v>84</v>
      </c>
      <c r="I738" t="s">
        <v>23</v>
      </c>
      <c r="J738" t="s">
        <v>78</v>
      </c>
      <c r="K738" t="s">
        <v>79</v>
      </c>
      <c r="L738" t="s">
        <v>39</v>
      </c>
      <c r="M738" t="s">
        <v>27</v>
      </c>
      <c r="N738" t="s">
        <v>28</v>
      </c>
      <c r="O738" t="s">
        <v>1445</v>
      </c>
      <c r="P738">
        <v>84.98</v>
      </c>
      <c r="Q738">
        <v>1</v>
      </c>
      <c r="R738">
        <v>0</v>
      </c>
      <c r="S738">
        <v>18.7</v>
      </c>
    </row>
    <row r="739" spans="1:19" x14ac:dyDescent="0.3">
      <c r="A739" t="s">
        <v>1442</v>
      </c>
      <c r="B739">
        <v>2014</v>
      </c>
      <c r="C739" t="s">
        <v>129</v>
      </c>
      <c r="D739" t="s">
        <v>1120</v>
      </c>
      <c r="E739">
        <v>4</v>
      </c>
      <c r="F739" t="s">
        <v>45</v>
      </c>
      <c r="G739" t="s">
        <v>1443</v>
      </c>
      <c r="H739" t="s">
        <v>84</v>
      </c>
      <c r="I739" t="s">
        <v>23</v>
      </c>
      <c r="J739" t="s">
        <v>78</v>
      </c>
      <c r="K739" t="s">
        <v>79</v>
      </c>
      <c r="L739" t="s">
        <v>39</v>
      </c>
      <c r="M739" t="s">
        <v>40</v>
      </c>
      <c r="N739" t="s">
        <v>62</v>
      </c>
      <c r="O739" t="s">
        <v>1446</v>
      </c>
      <c r="P739">
        <v>18.72</v>
      </c>
      <c r="Q739">
        <v>5</v>
      </c>
      <c r="R739">
        <v>0.2</v>
      </c>
      <c r="S739">
        <v>6.55</v>
      </c>
    </row>
    <row r="740" spans="1:19" x14ac:dyDescent="0.3">
      <c r="A740" s="1">
        <v>40764</v>
      </c>
      <c r="B740">
        <v>2011</v>
      </c>
      <c r="C740" t="s">
        <v>124</v>
      </c>
      <c r="D740" s="1">
        <v>40886</v>
      </c>
      <c r="E740">
        <v>4</v>
      </c>
      <c r="F740" t="s">
        <v>45</v>
      </c>
      <c r="G740" t="s">
        <v>323</v>
      </c>
      <c r="H740" t="s">
        <v>22</v>
      </c>
      <c r="I740" t="s">
        <v>23</v>
      </c>
      <c r="J740" t="s">
        <v>105</v>
      </c>
      <c r="K740" t="s">
        <v>38</v>
      </c>
      <c r="L740" t="s">
        <v>39</v>
      </c>
      <c r="M740" t="s">
        <v>59</v>
      </c>
      <c r="N740" t="s">
        <v>133</v>
      </c>
      <c r="O740" t="s">
        <v>1447</v>
      </c>
      <c r="P740">
        <v>49.98</v>
      </c>
      <c r="Q740">
        <v>2</v>
      </c>
      <c r="R740">
        <v>0</v>
      </c>
      <c r="S740">
        <v>8.5</v>
      </c>
    </row>
    <row r="741" spans="1:19" x14ac:dyDescent="0.3">
      <c r="A741" s="1">
        <v>40664</v>
      </c>
      <c r="B741">
        <v>2011</v>
      </c>
      <c r="C741" t="s">
        <v>129</v>
      </c>
      <c r="D741" s="1">
        <v>40787</v>
      </c>
      <c r="E741">
        <v>4</v>
      </c>
      <c r="F741" t="s">
        <v>45</v>
      </c>
      <c r="G741" t="s">
        <v>1448</v>
      </c>
      <c r="H741" t="s">
        <v>84</v>
      </c>
      <c r="I741" t="s">
        <v>23</v>
      </c>
      <c r="J741" t="s">
        <v>165</v>
      </c>
      <c r="K741" t="s">
        <v>166</v>
      </c>
      <c r="L741" t="s">
        <v>87</v>
      </c>
      <c r="M741" t="s">
        <v>40</v>
      </c>
      <c r="N741" t="s">
        <v>41</v>
      </c>
      <c r="O741" t="s">
        <v>1449</v>
      </c>
      <c r="P741">
        <v>11.78</v>
      </c>
      <c r="Q741">
        <v>3</v>
      </c>
      <c r="R741">
        <v>0.2</v>
      </c>
      <c r="S741">
        <v>4.2699999999999996</v>
      </c>
    </row>
    <row r="742" spans="1:19" x14ac:dyDescent="0.3">
      <c r="A742" s="1">
        <v>40664</v>
      </c>
      <c r="B742">
        <v>2011</v>
      </c>
      <c r="C742" t="s">
        <v>129</v>
      </c>
      <c r="D742" s="1">
        <v>40787</v>
      </c>
      <c r="E742">
        <v>4</v>
      </c>
      <c r="F742" t="s">
        <v>45</v>
      </c>
      <c r="G742" t="s">
        <v>1448</v>
      </c>
      <c r="H742" t="s">
        <v>84</v>
      </c>
      <c r="I742" t="s">
        <v>23</v>
      </c>
      <c r="J742" t="s">
        <v>165</v>
      </c>
      <c r="K742" t="s">
        <v>166</v>
      </c>
      <c r="L742" t="s">
        <v>87</v>
      </c>
      <c r="M742" t="s">
        <v>40</v>
      </c>
      <c r="N742" t="s">
        <v>51</v>
      </c>
      <c r="O742" t="s">
        <v>1028</v>
      </c>
      <c r="P742">
        <v>272.74</v>
      </c>
      <c r="Q742">
        <v>3</v>
      </c>
      <c r="R742">
        <v>0.2</v>
      </c>
      <c r="S742">
        <v>-64.77</v>
      </c>
    </row>
    <row r="743" spans="1:19" x14ac:dyDescent="0.3">
      <c r="A743" s="1">
        <v>40664</v>
      </c>
      <c r="B743">
        <v>2011</v>
      </c>
      <c r="C743" t="s">
        <v>129</v>
      </c>
      <c r="D743" s="1">
        <v>40787</v>
      </c>
      <c r="E743">
        <v>4</v>
      </c>
      <c r="F743" t="s">
        <v>45</v>
      </c>
      <c r="G743" t="s">
        <v>1448</v>
      </c>
      <c r="H743" t="s">
        <v>84</v>
      </c>
      <c r="I743" t="s">
        <v>23</v>
      </c>
      <c r="J743" t="s">
        <v>165</v>
      </c>
      <c r="K743" t="s">
        <v>166</v>
      </c>
      <c r="L743" t="s">
        <v>87</v>
      </c>
      <c r="M743" t="s">
        <v>40</v>
      </c>
      <c r="N743" t="s">
        <v>62</v>
      </c>
      <c r="O743" t="s">
        <v>1450</v>
      </c>
      <c r="P743">
        <v>3.54</v>
      </c>
      <c r="Q743">
        <v>2</v>
      </c>
      <c r="R743">
        <v>0.8</v>
      </c>
      <c r="S743">
        <v>-5.49</v>
      </c>
    </row>
    <row r="744" spans="1:19" x14ac:dyDescent="0.3">
      <c r="A744" t="s">
        <v>1451</v>
      </c>
      <c r="B744">
        <v>2013</v>
      </c>
      <c r="C744" t="s">
        <v>103</v>
      </c>
      <c r="D744" s="1">
        <v>41314</v>
      </c>
      <c r="E744">
        <v>5</v>
      </c>
      <c r="F744" t="s">
        <v>45</v>
      </c>
      <c r="G744" t="s">
        <v>1452</v>
      </c>
      <c r="H744" t="s">
        <v>22</v>
      </c>
      <c r="I744" t="s">
        <v>23</v>
      </c>
      <c r="J744" t="s">
        <v>552</v>
      </c>
      <c r="K744" t="s">
        <v>86</v>
      </c>
      <c r="L744" t="s">
        <v>87</v>
      </c>
      <c r="M744" t="s">
        <v>40</v>
      </c>
      <c r="N744" t="s">
        <v>402</v>
      </c>
      <c r="O744" t="s">
        <v>1217</v>
      </c>
      <c r="P744">
        <v>51.52</v>
      </c>
      <c r="Q744">
        <v>5</v>
      </c>
      <c r="R744">
        <v>0.2</v>
      </c>
      <c r="S744">
        <v>-10.95</v>
      </c>
    </row>
    <row r="745" spans="1:19" x14ac:dyDescent="0.3">
      <c r="A745" t="s">
        <v>1451</v>
      </c>
      <c r="B745">
        <v>2013</v>
      </c>
      <c r="C745" t="s">
        <v>103</v>
      </c>
      <c r="D745" s="1">
        <v>41314</v>
      </c>
      <c r="E745">
        <v>5</v>
      </c>
      <c r="F745" t="s">
        <v>45</v>
      </c>
      <c r="G745" t="s">
        <v>1452</v>
      </c>
      <c r="H745" t="s">
        <v>22</v>
      </c>
      <c r="I745" t="s">
        <v>23</v>
      </c>
      <c r="J745" t="s">
        <v>552</v>
      </c>
      <c r="K745" t="s">
        <v>86</v>
      </c>
      <c r="L745" t="s">
        <v>87</v>
      </c>
      <c r="M745" t="s">
        <v>40</v>
      </c>
      <c r="N745" t="s">
        <v>74</v>
      </c>
      <c r="O745" t="s">
        <v>674</v>
      </c>
      <c r="P745">
        <v>3.53</v>
      </c>
      <c r="Q745">
        <v>1</v>
      </c>
      <c r="R745">
        <v>0.2</v>
      </c>
      <c r="S745">
        <v>1.1499999999999999</v>
      </c>
    </row>
    <row r="746" spans="1:19" x14ac:dyDescent="0.3">
      <c r="A746" t="s">
        <v>1451</v>
      </c>
      <c r="B746">
        <v>2013</v>
      </c>
      <c r="C746" t="s">
        <v>103</v>
      </c>
      <c r="D746" s="1">
        <v>41314</v>
      </c>
      <c r="E746">
        <v>5</v>
      </c>
      <c r="F746" t="s">
        <v>45</v>
      </c>
      <c r="G746" t="s">
        <v>1452</v>
      </c>
      <c r="H746" t="s">
        <v>22</v>
      </c>
      <c r="I746" t="s">
        <v>23</v>
      </c>
      <c r="J746" t="s">
        <v>552</v>
      </c>
      <c r="K746" t="s">
        <v>86</v>
      </c>
      <c r="L746" t="s">
        <v>87</v>
      </c>
      <c r="M746" t="s">
        <v>40</v>
      </c>
      <c r="N746" t="s">
        <v>74</v>
      </c>
      <c r="O746" t="s">
        <v>1453</v>
      </c>
      <c r="P746">
        <v>4.62</v>
      </c>
      <c r="Q746">
        <v>1</v>
      </c>
      <c r="R746">
        <v>0.2</v>
      </c>
      <c r="S746">
        <v>1.68</v>
      </c>
    </row>
    <row r="747" spans="1:19" x14ac:dyDescent="0.3">
      <c r="A747" t="s">
        <v>1451</v>
      </c>
      <c r="B747">
        <v>2013</v>
      </c>
      <c r="C747" t="s">
        <v>103</v>
      </c>
      <c r="D747" s="1">
        <v>41314</v>
      </c>
      <c r="E747">
        <v>5</v>
      </c>
      <c r="F747" t="s">
        <v>45</v>
      </c>
      <c r="G747" t="s">
        <v>1452</v>
      </c>
      <c r="H747" t="s">
        <v>22</v>
      </c>
      <c r="I747" t="s">
        <v>23</v>
      </c>
      <c r="J747" t="s">
        <v>552</v>
      </c>
      <c r="K747" t="s">
        <v>86</v>
      </c>
      <c r="L747" t="s">
        <v>87</v>
      </c>
      <c r="M747" t="s">
        <v>40</v>
      </c>
      <c r="N747" t="s">
        <v>402</v>
      </c>
      <c r="O747" t="s">
        <v>1454</v>
      </c>
      <c r="P747">
        <v>55.17</v>
      </c>
      <c r="Q747">
        <v>4</v>
      </c>
      <c r="R747">
        <v>0.2</v>
      </c>
      <c r="S747">
        <v>6.21</v>
      </c>
    </row>
    <row r="748" spans="1:19" x14ac:dyDescent="0.3">
      <c r="A748" t="s">
        <v>1250</v>
      </c>
      <c r="B748">
        <v>2011</v>
      </c>
      <c r="C748" t="s">
        <v>96</v>
      </c>
      <c r="D748" t="s">
        <v>1250</v>
      </c>
      <c r="E748">
        <v>0</v>
      </c>
      <c r="F748" t="s">
        <v>828</v>
      </c>
      <c r="G748" t="s">
        <v>1024</v>
      </c>
      <c r="H748" t="s">
        <v>36</v>
      </c>
      <c r="I748" t="s">
        <v>23</v>
      </c>
      <c r="J748" t="s">
        <v>624</v>
      </c>
      <c r="K748" t="s">
        <v>38</v>
      </c>
      <c r="L748" t="s">
        <v>39</v>
      </c>
      <c r="M748" t="s">
        <v>27</v>
      </c>
      <c r="N748" t="s">
        <v>49</v>
      </c>
      <c r="O748" t="s">
        <v>613</v>
      </c>
      <c r="P748">
        <v>567.12</v>
      </c>
      <c r="Q748">
        <v>10</v>
      </c>
      <c r="R748">
        <v>0.2</v>
      </c>
      <c r="S748">
        <v>-28.36</v>
      </c>
    </row>
    <row r="749" spans="1:19" x14ac:dyDescent="0.3">
      <c r="A749" t="s">
        <v>1250</v>
      </c>
      <c r="B749">
        <v>2011</v>
      </c>
      <c r="C749" t="s">
        <v>96</v>
      </c>
      <c r="D749" t="s">
        <v>1250</v>
      </c>
      <c r="E749">
        <v>0</v>
      </c>
      <c r="F749" t="s">
        <v>828</v>
      </c>
      <c r="G749" t="s">
        <v>1024</v>
      </c>
      <c r="H749" t="s">
        <v>36</v>
      </c>
      <c r="I749" t="s">
        <v>23</v>
      </c>
      <c r="J749" t="s">
        <v>624</v>
      </c>
      <c r="K749" t="s">
        <v>38</v>
      </c>
      <c r="L749" t="s">
        <v>39</v>
      </c>
      <c r="M749" t="s">
        <v>40</v>
      </c>
      <c r="N749" t="s">
        <v>51</v>
      </c>
      <c r="O749" t="s">
        <v>1063</v>
      </c>
      <c r="P749">
        <v>359.32</v>
      </c>
      <c r="Q749">
        <v>4</v>
      </c>
      <c r="R749">
        <v>0</v>
      </c>
      <c r="S749">
        <v>7.19</v>
      </c>
    </row>
    <row r="750" spans="1:19" x14ac:dyDescent="0.3">
      <c r="A750" t="s">
        <v>1223</v>
      </c>
      <c r="B750">
        <v>2013</v>
      </c>
      <c r="C750" t="s">
        <v>177</v>
      </c>
      <c r="D750" t="s">
        <v>1455</v>
      </c>
      <c r="E750">
        <v>2</v>
      </c>
      <c r="F750" t="s">
        <v>20</v>
      </c>
      <c r="G750" t="s">
        <v>1456</v>
      </c>
      <c r="H750" t="s">
        <v>22</v>
      </c>
      <c r="I750" t="s">
        <v>23</v>
      </c>
      <c r="J750" t="s">
        <v>1457</v>
      </c>
      <c r="K750" t="s">
        <v>166</v>
      </c>
      <c r="L750" t="s">
        <v>87</v>
      </c>
      <c r="M750" t="s">
        <v>59</v>
      </c>
      <c r="N750" t="s">
        <v>60</v>
      </c>
      <c r="O750" t="s">
        <v>1458</v>
      </c>
      <c r="P750">
        <v>11.99</v>
      </c>
      <c r="Q750">
        <v>1</v>
      </c>
      <c r="R750">
        <v>0.2</v>
      </c>
      <c r="S750">
        <v>0.9</v>
      </c>
    </row>
    <row r="751" spans="1:19" x14ac:dyDescent="0.3">
      <c r="A751" s="1">
        <v>41708</v>
      </c>
      <c r="B751">
        <v>2014</v>
      </c>
      <c r="C751" t="s">
        <v>43</v>
      </c>
      <c r="D751" s="1">
        <v>41830</v>
      </c>
      <c r="E751">
        <v>4</v>
      </c>
      <c r="F751" t="s">
        <v>45</v>
      </c>
      <c r="G751" t="s">
        <v>1459</v>
      </c>
      <c r="H751" t="s">
        <v>22</v>
      </c>
      <c r="I751" t="s">
        <v>23</v>
      </c>
      <c r="J751" t="s">
        <v>1460</v>
      </c>
      <c r="K751" t="s">
        <v>188</v>
      </c>
      <c r="L751" t="s">
        <v>87</v>
      </c>
      <c r="M751" t="s">
        <v>40</v>
      </c>
      <c r="N751" t="s">
        <v>62</v>
      </c>
      <c r="O751" t="s">
        <v>1461</v>
      </c>
      <c r="P751">
        <v>58.05</v>
      </c>
      <c r="Q751">
        <v>3</v>
      </c>
      <c r="R751">
        <v>0</v>
      </c>
      <c r="S751">
        <v>26.7</v>
      </c>
    </row>
    <row r="752" spans="1:19" x14ac:dyDescent="0.3">
      <c r="A752" s="1">
        <v>41708</v>
      </c>
      <c r="B752">
        <v>2014</v>
      </c>
      <c r="C752" t="s">
        <v>43</v>
      </c>
      <c r="D752" s="1">
        <v>41830</v>
      </c>
      <c r="E752">
        <v>4</v>
      </c>
      <c r="F752" t="s">
        <v>45</v>
      </c>
      <c r="G752" t="s">
        <v>1459</v>
      </c>
      <c r="H752" t="s">
        <v>22</v>
      </c>
      <c r="I752" t="s">
        <v>23</v>
      </c>
      <c r="J752" t="s">
        <v>1460</v>
      </c>
      <c r="K752" t="s">
        <v>188</v>
      </c>
      <c r="L752" t="s">
        <v>87</v>
      </c>
      <c r="M752" t="s">
        <v>27</v>
      </c>
      <c r="N752" t="s">
        <v>55</v>
      </c>
      <c r="O752" t="s">
        <v>1462</v>
      </c>
      <c r="P752">
        <v>157.74</v>
      </c>
      <c r="Q752">
        <v>11</v>
      </c>
      <c r="R752">
        <v>0</v>
      </c>
      <c r="S752">
        <v>56.79</v>
      </c>
    </row>
    <row r="753" spans="1:19" x14ac:dyDescent="0.3">
      <c r="A753" s="1">
        <v>41708</v>
      </c>
      <c r="B753">
        <v>2014</v>
      </c>
      <c r="C753" t="s">
        <v>43</v>
      </c>
      <c r="D753" s="1">
        <v>41830</v>
      </c>
      <c r="E753">
        <v>4</v>
      </c>
      <c r="F753" t="s">
        <v>45</v>
      </c>
      <c r="G753" t="s">
        <v>1459</v>
      </c>
      <c r="H753" t="s">
        <v>22</v>
      </c>
      <c r="I753" t="s">
        <v>23</v>
      </c>
      <c r="J753" t="s">
        <v>1460</v>
      </c>
      <c r="K753" t="s">
        <v>188</v>
      </c>
      <c r="L753" t="s">
        <v>87</v>
      </c>
      <c r="M753" t="s">
        <v>40</v>
      </c>
      <c r="N753" t="s">
        <v>57</v>
      </c>
      <c r="O753" t="s">
        <v>905</v>
      </c>
      <c r="P753">
        <v>56.98</v>
      </c>
      <c r="Q753">
        <v>7</v>
      </c>
      <c r="R753">
        <v>0</v>
      </c>
      <c r="S753">
        <v>22.79</v>
      </c>
    </row>
    <row r="754" spans="1:19" x14ac:dyDescent="0.3">
      <c r="A754" s="1">
        <v>41708</v>
      </c>
      <c r="B754">
        <v>2014</v>
      </c>
      <c r="C754" t="s">
        <v>43</v>
      </c>
      <c r="D754" s="1">
        <v>41830</v>
      </c>
      <c r="E754">
        <v>4</v>
      </c>
      <c r="F754" t="s">
        <v>45</v>
      </c>
      <c r="G754" t="s">
        <v>1459</v>
      </c>
      <c r="H754" t="s">
        <v>22</v>
      </c>
      <c r="I754" t="s">
        <v>23</v>
      </c>
      <c r="J754" t="s">
        <v>1460</v>
      </c>
      <c r="K754" t="s">
        <v>188</v>
      </c>
      <c r="L754" t="s">
        <v>87</v>
      </c>
      <c r="M754" t="s">
        <v>40</v>
      </c>
      <c r="N754" t="s">
        <v>62</v>
      </c>
      <c r="O754" t="s">
        <v>1463</v>
      </c>
      <c r="P754">
        <v>2.88</v>
      </c>
      <c r="Q754">
        <v>1</v>
      </c>
      <c r="R754">
        <v>0</v>
      </c>
      <c r="S754">
        <v>1.41</v>
      </c>
    </row>
    <row r="755" spans="1:19" x14ac:dyDescent="0.3">
      <c r="A755" s="1">
        <v>41490</v>
      </c>
      <c r="B755">
        <v>2013</v>
      </c>
      <c r="C755" t="s">
        <v>69</v>
      </c>
      <c r="D755" s="1">
        <v>41551</v>
      </c>
      <c r="E755">
        <v>2</v>
      </c>
      <c r="F755" t="s">
        <v>151</v>
      </c>
      <c r="G755" t="s">
        <v>1464</v>
      </c>
      <c r="H755" t="s">
        <v>36</v>
      </c>
      <c r="I755" t="s">
        <v>23</v>
      </c>
      <c r="J755" t="s">
        <v>105</v>
      </c>
      <c r="K755" t="s">
        <v>38</v>
      </c>
      <c r="L755" t="s">
        <v>39</v>
      </c>
      <c r="M755" t="s">
        <v>59</v>
      </c>
      <c r="N755" t="s">
        <v>780</v>
      </c>
      <c r="O755" t="s">
        <v>1465</v>
      </c>
      <c r="P755">
        <v>1199.98</v>
      </c>
      <c r="Q755">
        <v>3</v>
      </c>
      <c r="R755">
        <v>0.2</v>
      </c>
      <c r="S755">
        <v>374.99</v>
      </c>
    </row>
    <row r="756" spans="1:19" x14ac:dyDescent="0.3">
      <c r="A756" s="1">
        <v>41102</v>
      </c>
      <c r="B756">
        <v>2012</v>
      </c>
      <c r="C756" t="s">
        <v>76</v>
      </c>
      <c r="D756" s="1">
        <v>41255</v>
      </c>
      <c r="E756">
        <v>5</v>
      </c>
      <c r="F756" t="s">
        <v>45</v>
      </c>
      <c r="G756" t="s">
        <v>1231</v>
      </c>
      <c r="H756" t="s">
        <v>22</v>
      </c>
      <c r="I756" t="s">
        <v>23</v>
      </c>
      <c r="J756" t="s">
        <v>37</v>
      </c>
      <c r="K756" t="s">
        <v>38</v>
      </c>
      <c r="L756" t="s">
        <v>39</v>
      </c>
      <c r="M756" t="s">
        <v>27</v>
      </c>
      <c r="N756" t="s">
        <v>55</v>
      </c>
      <c r="O756" t="s">
        <v>1350</v>
      </c>
      <c r="P756">
        <v>79.92</v>
      </c>
      <c r="Q756">
        <v>4</v>
      </c>
      <c r="R756">
        <v>0</v>
      </c>
      <c r="S756">
        <v>28.77</v>
      </c>
    </row>
    <row r="757" spans="1:19" x14ac:dyDescent="0.3">
      <c r="A757" t="s">
        <v>243</v>
      </c>
      <c r="B757">
        <v>2013</v>
      </c>
      <c r="C757" t="s">
        <v>124</v>
      </c>
      <c r="D757" t="s">
        <v>294</v>
      </c>
      <c r="E757">
        <v>4</v>
      </c>
      <c r="F757" t="s">
        <v>45</v>
      </c>
      <c r="G757" t="s">
        <v>1254</v>
      </c>
      <c r="H757" t="s">
        <v>36</v>
      </c>
      <c r="I757" t="s">
        <v>23</v>
      </c>
      <c r="J757" t="s">
        <v>965</v>
      </c>
      <c r="K757" t="s">
        <v>48</v>
      </c>
      <c r="L757" t="s">
        <v>26</v>
      </c>
      <c r="M757" t="s">
        <v>27</v>
      </c>
      <c r="N757" t="s">
        <v>49</v>
      </c>
      <c r="O757" t="s">
        <v>1466</v>
      </c>
      <c r="P757">
        <v>383.44</v>
      </c>
      <c r="Q757">
        <v>4</v>
      </c>
      <c r="R757">
        <v>0.45</v>
      </c>
      <c r="S757">
        <v>-167.32</v>
      </c>
    </row>
    <row r="758" spans="1:19" x14ac:dyDescent="0.3">
      <c r="A758" t="s">
        <v>1467</v>
      </c>
      <c r="B758">
        <v>2011</v>
      </c>
      <c r="C758" t="s">
        <v>76</v>
      </c>
      <c r="D758" s="1">
        <v>40940</v>
      </c>
      <c r="E758">
        <v>4</v>
      </c>
      <c r="F758" t="s">
        <v>45</v>
      </c>
      <c r="G758" t="s">
        <v>1468</v>
      </c>
      <c r="H758" t="s">
        <v>22</v>
      </c>
      <c r="I758" t="s">
        <v>23</v>
      </c>
      <c r="J758" t="s">
        <v>1469</v>
      </c>
      <c r="K758" t="s">
        <v>181</v>
      </c>
      <c r="L758" t="s">
        <v>87</v>
      </c>
      <c r="M758" t="s">
        <v>40</v>
      </c>
      <c r="N758" t="s">
        <v>51</v>
      </c>
      <c r="O758" t="s">
        <v>1382</v>
      </c>
      <c r="P758">
        <v>24.56</v>
      </c>
      <c r="Q758">
        <v>2</v>
      </c>
      <c r="R758">
        <v>0</v>
      </c>
      <c r="S758">
        <v>6.88</v>
      </c>
    </row>
    <row r="759" spans="1:19" x14ac:dyDescent="0.3">
      <c r="A759" t="s">
        <v>1467</v>
      </c>
      <c r="B759">
        <v>2011</v>
      </c>
      <c r="C759" t="s">
        <v>76</v>
      </c>
      <c r="D759" s="1">
        <v>40940</v>
      </c>
      <c r="E759">
        <v>4</v>
      </c>
      <c r="F759" t="s">
        <v>45</v>
      </c>
      <c r="G759" t="s">
        <v>1468</v>
      </c>
      <c r="H759" t="s">
        <v>22</v>
      </c>
      <c r="I759" t="s">
        <v>23</v>
      </c>
      <c r="J759" t="s">
        <v>1469</v>
      </c>
      <c r="K759" t="s">
        <v>181</v>
      </c>
      <c r="L759" t="s">
        <v>87</v>
      </c>
      <c r="M759" t="s">
        <v>59</v>
      </c>
      <c r="N759" t="s">
        <v>133</v>
      </c>
      <c r="O759" t="s">
        <v>1289</v>
      </c>
      <c r="P759">
        <v>119.8</v>
      </c>
      <c r="Q759">
        <v>4</v>
      </c>
      <c r="R759">
        <v>0</v>
      </c>
      <c r="S759">
        <v>47.92</v>
      </c>
    </row>
    <row r="760" spans="1:19" x14ac:dyDescent="0.3">
      <c r="A760" t="s">
        <v>1470</v>
      </c>
      <c r="B760">
        <v>2014</v>
      </c>
      <c r="C760" t="s">
        <v>116</v>
      </c>
      <c r="D760" t="s">
        <v>1471</v>
      </c>
      <c r="E760">
        <v>5</v>
      </c>
      <c r="F760" t="s">
        <v>45</v>
      </c>
      <c r="G760" t="s">
        <v>1472</v>
      </c>
      <c r="H760" t="s">
        <v>36</v>
      </c>
      <c r="I760" t="s">
        <v>23</v>
      </c>
      <c r="J760" t="s">
        <v>208</v>
      </c>
      <c r="K760" t="s">
        <v>209</v>
      </c>
      <c r="L760" t="s">
        <v>121</v>
      </c>
      <c r="M760" t="s">
        <v>40</v>
      </c>
      <c r="N760" t="s">
        <v>62</v>
      </c>
      <c r="O760" t="s">
        <v>1252</v>
      </c>
      <c r="P760">
        <v>13.13</v>
      </c>
      <c r="Q760">
        <v>3</v>
      </c>
      <c r="R760">
        <v>0.2</v>
      </c>
      <c r="S760">
        <v>4.2699999999999996</v>
      </c>
    </row>
    <row r="761" spans="1:19" x14ac:dyDescent="0.3">
      <c r="A761" t="s">
        <v>405</v>
      </c>
      <c r="B761">
        <v>2014</v>
      </c>
      <c r="C761" t="s">
        <v>124</v>
      </c>
      <c r="D761" t="s">
        <v>1473</v>
      </c>
      <c r="E761">
        <v>4</v>
      </c>
      <c r="F761" t="s">
        <v>45</v>
      </c>
      <c r="G761" t="s">
        <v>1474</v>
      </c>
      <c r="H761" t="s">
        <v>36</v>
      </c>
      <c r="I761" t="s">
        <v>23</v>
      </c>
      <c r="J761" t="s">
        <v>1154</v>
      </c>
      <c r="K761" t="s">
        <v>93</v>
      </c>
      <c r="L761" t="s">
        <v>87</v>
      </c>
      <c r="M761" t="s">
        <v>40</v>
      </c>
      <c r="N761" t="s">
        <v>74</v>
      </c>
      <c r="O761" t="s">
        <v>1352</v>
      </c>
      <c r="P761">
        <v>22.72</v>
      </c>
      <c r="Q761">
        <v>4</v>
      </c>
      <c r="R761">
        <v>0</v>
      </c>
      <c r="S761">
        <v>10.220000000000001</v>
      </c>
    </row>
    <row r="762" spans="1:19" x14ac:dyDescent="0.3">
      <c r="A762" t="s">
        <v>1475</v>
      </c>
      <c r="B762">
        <v>2012</v>
      </c>
      <c r="C762" t="s">
        <v>103</v>
      </c>
      <c r="D762" s="1">
        <v>41038</v>
      </c>
      <c r="E762">
        <v>5</v>
      </c>
      <c r="F762" t="s">
        <v>45</v>
      </c>
      <c r="G762" t="s">
        <v>1251</v>
      </c>
      <c r="H762" t="s">
        <v>22</v>
      </c>
      <c r="I762" t="s">
        <v>23</v>
      </c>
      <c r="J762" t="s">
        <v>37</v>
      </c>
      <c r="K762" t="s">
        <v>38</v>
      </c>
      <c r="L762" t="s">
        <v>39</v>
      </c>
      <c r="M762" t="s">
        <v>40</v>
      </c>
      <c r="N762" t="s">
        <v>74</v>
      </c>
      <c r="O762" t="s">
        <v>1184</v>
      </c>
      <c r="P762">
        <v>58.32</v>
      </c>
      <c r="Q762">
        <v>9</v>
      </c>
      <c r="R762">
        <v>0</v>
      </c>
      <c r="S762">
        <v>27.99</v>
      </c>
    </row>
    <row r="763" spans="1:19" x14ac:dyDescent="0.3">
      <c r="A763" s="1">
        <v>41740</v>
      </c>
      <c r="B763">
        <v>2014</v>
      </c>
      <c r="C763" t="s">
        <v>19</v>
      </c>
      <c r="D763" s="1">
        <v>41862</v>
      </c>
      <c r="E763">
        <v>4</v>
      </c>
      <c r="F763" t="s">
        <v>45</v>
      </c>
      <c r="G763" t="s">
        <v>274</v>
      </c>
      <c r="H763" t="s">
        <v>36</v>
      </c>
      <c r="I763" t="s">
        <v>23</v>
      </c>
      <c r="J763" t="s">
        <v>1093</v>
      </c>
      <c r="K763" t="s">
        <v>817</v>
      </c>
      <c r="L763" t="s">
        <v>26</v>
      </c>
      <c r="M763" t="s">
        <v>40</v>
      </c>
      <c r="N763" t="s">
        <v>41</v>
      </c>
      <c r="O763" t="s">
        <v>1476</v>
      </c>
      <c r="P763">
        <v>12.39</v>
      </c>
      <c r="Q763">
        <v>3</v>
      </c>
      <c r="R763">
        <v>0</v>
      </c>
      <c r="S763">
        <v>5.7</v>
      </c>
    </row>
    <row r="764" spans="1:19" x14ac:dyDescent="0.3">
      <c r="A764" s="1">
        <v>41123</v>
      </c>
      <c r="B764">
        <v>2012</v>
      </c>
      <c r="C764" t="s">
        <v>389</v>
      </c>
      <c r="D764" t="s">
        <v>566</v>
      </c>
      <c r="E764">
        <v>5</v>
      </c>
      <c r="F764" t="s">
        <v>45</v>
      </c>
      <c r="G764" t="s">
        <v>1477</v>
      </c>
      <c r="H764" t="s">
        <v>22</v>
      </c>
      <c r="I764" t="s">
        <v>23</v>
      </c>
      <c r="J764" t="s">
        <v>356</v>
      </c>
      <c r="K764" t="s">
        <v>357</v>
      </c>
      <c r="L764" t="s">
        <v>121</v>
      </c>
      <c r="M764" t="s">
        <v>59</v>
      </c>
      <c r="N764" t="s">
        <v>60</v>
      </c>
      <c r="O764" t="s">
        <v>471</v>
      </c>
      <c r="P764">
        <v>107.98</v>
      </c>
      <c r="Q764">
        <v>3</v>
      </c>
      <c r="R764">
        <v>0.4</v>
      </c>
      <c r="S764">
        <v>-27</v>
      </c>
    </row>
    <row r="765" spans="1:19" x14ac:dyDescent="0.3">
      <c r="A765" t="s">
        <v>1230</v>
      </c>
      <c r="B765">
        <v>2011</v>
      </c>
      <c r="C765" t="s">
        <v>129</v>
      </c>
      <c r="D765" t="s">
        <v>1478</v>
      </c>
      <c r="E765">
        <v>2</v>
      </c>
      <c r="F765" t="s">
        <v>20</v>
      </c>
      <c r="G765" t="s">
        <v>1479</v>
      </c>
      <c r="H765" t="s">
        <v>36</v>
      </c>
      <c r="I765" t="s">
        <v>23</v>
      </c>
      <c r="J765" t="s">
        <v>1480</v>
      </c>
      <c r="K765" t="s">
        <v>500</v>
      </c>
      <c r="L765" t="s">
        <v>26</v>
      </c>
      <c r="M765" t="s">
        <v>40</v>
      </c>
      <c r="N765" t="s">
        <v>141</v>
      </c>
      <c r="O765" t="s">
        <v>150</v>
      </c>
      <c r="P765">
        <v>11.36</v>
      </c>
      <c r="Q765">
        <v>2</v>
      </c>
      <c r="R765">
        <v>0</v>
      </c>
      <c r="S765">
        <v>5.34</v>
      </c>
    </row>
    <row r="766" spans="1:19" x14ac:dyDescent="0.3">
      <c r="A766" t="s">
        <v>1230</v>
      </c>
      <c r="B766">
        <v>2011</v>
      </c>
      <c r="C766" t="s">
        <v>129</v>
      </c>
      <c r="D766" t="s">
        <v>1478</v>
      </c>
      <c r="E766">
        <v>2</v>
      </c>
      <c r="F766" t="s">
        <v>20</v>
      </c>
      <c r="G766" t="s">
        <v>1479</v>
      </c>
      <c r="H766" t="s">
        <v>36</v>
      </c>
      <c r="I766" t="s">
        <v>23</v>
      </c>
      <c r="J766" t="s">
        <v>1480</v>
      </c>
      <c r="K766" t="s">
        <v>500</v>
      </c>
      <c r="L766" t="s">
        <v>26</v>
      </c>
      <c r="M766" t="s">
        <v>40</v>
      </c>
      <c r="N766" t="s">
        <v>141</v>
      </c>
      <c r="O766" t="s">
        <v>1481</v>
      </c>
      <c r="P766">
        <v>50.94</v>
      </c>
      <c r="Q766">
        <v>3</v>
      </c>
      <c r="R766">
        <v>0</v>
      </c>
      <c r="S766">
        <v>25.47</v>
      </c>
    </row>
    <row r="767" spans="1:19" x14ac:dyDescent="0.3">
      <c r="A767" t="s">
        <v>1230</v>
      </c>
      <c r="B767">
        <v>2011</v>
      </c>
      <c r="C767" t="s">
        <v>129</v>
      </c>
      <c r="D767" t="s">
        <v>1478</v>
      </c>
      <c r="E767">
        <v>2</v>
      </c>
      <c r="F767" t="s">
        <v>20</v>
      </c>
      <c r="G767" t="s">
        <v>1479</v>
      </c>
      <c r="H767" t="s">
        <v>36</v>
      </c>
      <c r="I767" t="s">
        <v>23</v>
      </c>
      <c r="J767" t="s">
        <v>1480</v>
      </c>
      <c r="K767" t="s">
        <v>500</v>
      </c>
      <c r="L767" t="s">
        <v>26</v>
      </c>
      <c r="M767" t="s">
        <v>59</v>
      </c>
      <c r="N767" t="s">
        <v>133</v>
      </c>
      <c r="O767" t="s">
        <v>1482</v>
      </c>
      <c r="P767">
        <v>646.74</v>
      </c>
      <c r="Q767">
        <v>6</v>
      </c>
      <c r="R767">
        <v>0</v>
      </c>
      <c r="S767">
        <v>258.7</v>
      </c>
    </row>
    <row r="768" spans="1:19" x14ac:dyDescent="0.3">
      <c r="A768" t="s">
        <v>1230</v>
      </c>
      <c r="B768">
        <v>2011</v>
      </c>
      <c r="C768" t="s">
        <v>129</v>
      </c>
      <c r="D768" t="s">
        <v>1478</v>
      </c>
      <c r="E768">
        <v>2</v>
      </c>
      <c r="F768" t="s">
        <v>20</v>
      </c>
      <c r="G768" t="s">
        <v>1479</v>
      </c>
      <c r="H768" t="s">
        <v>36</v>
      </c>
      <c r="I768" t="s">
        <v>23</v>
      </c>
      <c r="J768" t="s">
        <v>1480</v>
      </c>
      <c r="K768" t="s">
        <v>500</v>
      </c>
      <c r="L768" t="s">
        <v>26</v>
      </c>
      <c r="M768" t="s">
        <v>40</v>
      </c>
      <c r="N768" t="s">
        <v>62</v>
      </c>
      <c r="O768" t="s">
        <v>150</v>
      </c>
      <c r="P768">
        <v>5.64</v>
      </c>
      <c r="Q768">
        <v>3</v>
      </c>
      <c r="R768">
        <v>0</v>
      </c>
      <c r="S768">
        <v>2.71</v>
      </c>
    </row>
    <row r="769" spans="1:19" x14ac:dyDescent="0.3">
      <c r="A769" t="s">
        <v>1230</v>
      </c>
      <c r="B769">
        <v>2011</v>
      </c>
      <c r="C769" t="s">
        <v>129</v>
      </c>
      <c r="D769" t="s">
        <v>1478</v>
      </c>
      <c r="E769">
        <v>2</v>
      </c>
      <c r="F769" t="s">
        <v>20</v>
      </c>
      <c r="G769" t="s">
        <v>1479</v>
      </c>
      <c r="H769" t="s">
        <v>36</v>
      </c>
      <c r="I769" t="s">
        <v>23</v>
      </c>
      <c r="J769" t="s">
        <v>1480</v>
      </c>
      <c r="K769" t="s">
        <v>500</v>
      </c>
      <c r="L769" t="s">
        <v>26</v>
      </c>
      <c r="M769" t="s">
        <v>40</v>
      </c>
      <c r="N769" t="s">
        <v>51</v>
      </c>
      <c r="O769" t="s">
        <v>1483</v>
      </c>
      <c r="P769">
        <v>572.58000000000004</v>
      </c>
      <c r="Q769">
        <v>6</v>
      </c>
      <c r="R769">
        <v>0</v>
      </c>
      <c r="S769">
        <v>34.35</v>
      </c>
    </row>
    <row r="770" spans="1:19" x14ac:dyDescent="0.3">
      <c r="A770" t="s">
        <v>1484</v>
      </c>
      <c r="B770">
        <v>2011</v>
      </c>
      <c r="C770" t="s">
        <v>96</v>
      </c>
      <c r="D770" t="s">
        <v>1485</v>
      </c>
      <c r="E770">
        <v>6</v>
      </c>
      <c r="F770" t="s">
        <v>45</v>
      </c>
      <c r="G770" t="s">
        <v>1486</v>
      </c>
      <c r="H770" t="s">
        <v>36</v>
      </c>
      <c r="I770" t="s">
        <v>23</v>
      </c>
      <c r="J770" t="s">
        <v>744</v>
      </c>
      <c r="K770" t="s">
        <v>48</v>
      </c>
      <c r="L770" t="s">
        <v>26</v>
      </c>
      <c r="M770" t="s">
        <v>27</v>
      </c>
      <c r="N770" t="s">
        <v>55</v>
      </c>
      <c r="O770" t="s">
        <v>1487</v>
      </c>
      <c r="P770">
        <v>310.88</v>
      </c>
      <c r="Q770">
        <v>2</v>
      </c>
      <c r="R770">
        <v>0.2</v>
      </c>
      <c r="S770">
        <v>23.32</v>
      </c>
    </row>
    <row r="771" spans="1:19" x14ac:dyDescent="0.3">
      <c r="A771" t="s">
        <v>1488</v>
      </c>
      <c r="B771">
        <v>2013</v>
      </c>
      <c r="C771" t="s">
        <v>96</v>
      </c>
      <c r="D771" t="s">
        <v>1489</v>
      </c>
      <c r="E771">
        <v>5</v>
      </c>
      <c r="F771" t="s">
        <v>45</v>
      </c>
      <c r="G771" t="s">
        <v>557</v>
      </c>
      <c r="H771" t="s">
        <v>22</v>
      </c>
      <c r="I771" t="s">
        <v>23</v>
      </c>
      <c r="J771" t="s">
        <v>728</v>
      </c>
      <c r="K771" t="s">
        <v>241</v>
      </c>
      <c r="L771" t="s">
        <v>26</v>
      </c>
      <c r="M771" t="s">
        <v>27</v>
      </c>
      <c r="N771" t="s">
        <v>30</v>
      </c>
      <c r="O771" t="s">
        <v>1490</v>
      </c>
      <c r="P771">
        <v>641.96</v>
      </c>
      <c r="Q771">
        <v>2</v>
      </c>
      <c r="R771">
        <v>0</v>
      </c>
      <c r="S771">
        <v>179.75</v>
      </c>
    </row>
    <row r="772" spans="1:19" x14ac:dyDescent="0.3">
      <c r="A772" t="s">
        <v>1491</v>
      </c>
      <c r="B772">
        <v>2014</v>
      </c>
      <c r="C772" t="s">
        <v>129</v>
      </c>
      <c r="D772" s="1">
        <v>41792</v>
      </c>
      <c r="E772">
        <v>6</v>
      </c>
      <c r="F772" t="s">
        <v>45</v>
      </c>
      <c r="G772" t="s">
        <v>1492</v>
      </c>
      <c r="H772" t="s">
        <v>36</v>
      </c>
      <c r="I772" t="s">
        <v>23</v>
      </c>
      <c r="J772" t="s">
        <v>879</v>
      </c>
      <c r="K772" t="s">
        <v>351</v>
      </c>
      <c r="L772" t="s">
        <v>87</v>
      </c>
      <c r="M772" t="s">
        <v>40</v>
      </c>
      <c r="N772" t="s">
        <v>62</v>
      </c>
      <c r="O772" t="s">
        <v>1493</v>
      </c>
      <c r="P772">
        <v>18.28</v>
      </c>
      <c r="Q772">
        <v>2</v>
      </c>
      <c r="R772">
        <v>0</v>
      </c>
      <c r="S772">
        <v>9.14</v>
      </c>
    </row>
    <row r="773" spans="1:19" x14ac:dyDescent="0.3">
      <c r="A773" t="s">
        <v>1491</v>
      </c>
      <c r="B773">
        <v>2014</v>
      </c>
      <c r="C773" t="s">
        <v>129</v>
      </c>
      <c r="D773" s="1">
        <v>41792</v>
      </c>
      <c r="E773">
        <v>6</v>
      </c>
      <c r="F773" t="s">
        <v>45</v>
      </c>
      <c r="G773" t="s">
        <v>1492</v>
      </c>
      <c r="H773" t="s">
        <v>36</v>
      </c>
      <c r="I773" t="s">
        <v>23</v>
      </c>
      <c r="J773" t="s">
        <v>879</v>
      </c>
      <c r="K773" t="s">
        <v>351</v>
      </c>
      <c r="L773" t="s">
        <v>87</v>
      </c>
      <c r="M773" t="s">
        <v>59</v>
      </c>
      <c r="N773" t="s">
        <v>60</v>
      </c>
      <c r="O773" t="s">
        <v>775</v>
      </c>
      <c r="P773">
        <v>207</v>
      </c>
      <c r="Q773">
        <v>3</v>
      </c>
      <c r="R773">
        <v>0</v>
      </c>
      <c r="S773">
        <v>51.75</v>
      </c>
    </row>
    <row r="774" spans="1:19" x14ac:dyDescent="0.3">
      <c r="A774" t="s">
        <v>1491</v>
      </c>
      <c r="B774">
        <v>2014</v>
      </c>
      <c r="C774" t="s">
        <v>129</v>
      </c>
      <c r="D774" s="1">
        <v>41792</v>
      </c>
      <c r="E774">
        <v>6</v>
      </c>
      <c r="F774" t="s">
        <v>45</v>
      </c>
      <c r="G774" t="s">
        <v>1492</v>
      </c>
      <c r="H774" t="s">
        <v>36</v>
      </c>
      <c r="I774" t="s">
        <v>23</v>
      </c>
      <c r="J774" t="s">
        <v>879</v>
      </c>
      <c r="K774" t="s">
        <v>351</v>
      </c>
      <c r="L774" t="s">
        <v>87</v>
      </c>
      <c r="M774" t="s">
        <v>40</v>
      </c>
      <c r="N774" t="s">
        <v>62</v>
      </c>
      <c r="O774" t="s">
        <v>1494</v>
      </c>
      <c r="P774">
        <v>32.35</v>
      </c>
      <c r="Q774">
        <v>5</v>
      </c>
      <c r="R774">
        <v>0</v>
      </c>
      <c r="S774">
        <v>16.18</v>
      </c>
    </row>
    <row r="775" spans="1:19" x14ac:dyDescent="0.3">
      <c r="A775" t="s">
        <v>1491</v>
      </c>
      <c r="B775">
        <v>2014</v>
      </c>
      <c r="C775" t="s">
        <v>129</v>
      </c>
      <c r="D775" s="1">
        <v>41792</v>
      </c>
      <c r="E775">
        <v>6</v>
      </c>
      <c r="F775" t="s">
        <v>45</v>
      </c>
      <c r="G775" t="s">
        <v>1492</v>
      </c>
      <c r="H775" t="s">
        <v>36</v>
      </c>
      <c r="I775" t="s">
        <v>23</v>
      </c>
      <c r="J775" t="s">
        <v>879</v>
      </c>
      <c r="K775" t="s">
        <v>351</v>
      </c>
      <c r="L775" t="s">
        <v>87</v>
      </c>
      <c r="M775" t="s">
        <v>40</v>
      </c>
      <c r="N775" t="s">
        <v>62</v>
      </c>
      <c r="O775" t="s">
        <v>63</v>
      </c>
      <c r="P775">
        <v>7.71</v>
      </c>
      <c r="Q775">
        <v>1</v>
      </c>
      <c r="R775">
        <v>0</v>
      </c>
      <c r="S775">
        <v>3.47</v>
      </c>
    </row>
    <row r="776" spans="1:19" x14ac:dyDescent="0.3">
      <c r="A776" t="s">
        <v>1491</v>
      </c>
      <c r="B776">
        <v>2014</v>
      </c>
      <c r="C776" t="s">
        <v>129</v>
      </c>
      <c r="D776" s="1">
        <v>41792</v>
      </c>
      <c r="E776">
        <v>6</v>
      </c>
      <c r="F776" t="s">
        <v>45</v>
      </c>
      <c r="G776" t="s">
        <v>1492</v>
      </c>
      <c r="H776" t="s">
        <v>36</v>
      </c>
      <c r="I776" t="s">
        <v>23</v>
      </c>
      <c r="J776" t="s">
        <v>879</v>
      </c>
      <c r="K776" t="s">
        <v>351</v>
      </c>
      <c r="L776" t="s">
        <v>87</v>
      </c>
      <c r="M776" t="s">
        <v>40</v>
      </c>
      <c r="N776" t="s">
        <v>57</v>
      </c>
      <c r="O776" t="s">
        <v>1495</v>
      </c>
      <c r="P776">
        <v>40.299999999999997</v>
      </c>
      <c r="Q776">
        <v>2</v>
      </c>
      <c r="R776">
        <v>0</v>
      </c>
      <c r="S776">
        <v>10.88</v>
      </c>
    </row>
    <row r="777" spans="1:19" x14ac:dyDescent="0.3">
      <c r="A777" t="s">
        <v>1491</v>
      </c>
      <c r="B777">
        <v>2014</v>
      </c>
      <c r="C777" t="s">
        <v>129</v>
      </c>
      <c r="D777" s="1">
        <v>41792</v>
      </c>
      <c r="E777">
        <v>6</v>
      </c>
      <c r="F777" t="s">
        <v>45</v>
      </c>
      <c r="G777" t="s">
        <v>1492</v>
      </c>
      <c r="H777" t="s">
        <v>36</v>
      </c>
      <c r="I777" t="s">
        <v>23</v>
      </c>
      <c r="J777" t="s">
        <v>879</v>
      </c>
      <c r="K777" t="s">
        <v>351</v>
      </c>
      <c r="L777" t="s">
        <v>87</v>
      </c>
      <c r="M777" t="s">
        <v>27</v>
      </c>
      <c r="N777" t="s">
        <v>55</v>
      </c>
      <c r="O777" t="s">
        <v>1496</v>
      </c>
      <c r="P777">
        <v>34.58</v>
      </c>
      <c r="Q777">
        <v>7</v>
      </c>
      <c r="R777">
        <v>0</v>
      </c>
      <c r="S777">
        <v>14.52</v>
      </c>
    </row>
    <row r="778" spans="1:19" x14ac:dyDescent="0.3">
      <c r="A778" t="s">
        <v>1497</v>
      </c>
      <c r="B778">
        <v>2011</v>
      </c>
      <c r="C778" t="s">
        <v>33</v>
      </c>
      <c r="D778" s="1">
        <v>40701</v>
      </c>
      <c r="E778">
        <v>7</v>
      </c>
      <c r="F778" t="s">
        <v>45</v>
      </c>
      <c r="G778" t="s">
        <v>1498</v>
      </c>
      <c r="H778" t="s">
        <v>22</v>
      </c>
      <c r="I778" t="s">
        <v>23</v>
      </c>
      <c r="J778" t="s">
        <v>660</v>
      </c>
      <c r="K778" t="s">
        <v>357</v>
      </c>
      <c r="L778" t="s">
        <v>121</v>
      </c>
      <c r="M778" t="s">
        <v>40</v>
      </c>
      <c r="N778" t="s">
        <v>57</v>
      </c>
      <c r="O778" t="s">
        <v>1499</v>
      </c>
      <c r="P778">
        <v>32.76</v>
      </c>
      <c r="Q778">
        <v>7</v>
      </c>
      <c r="R778">
        <v>0.2</v>
      </c>
      <c r="S778">
        <v>3.69</v>
      </c>
    </row>
    <row r="779" spans="1:19" x14ac:dyDescent="0.3">
      <c r="A779" t="s">
        <v>1500</v>
      </c>
      <c r="B779">
        <v>2012</v>
      </c>
      <c r="C779" t="s">
        <v>103</v>
      </c>
      <c r="D779" t="s">
        <v>1501</v>
      </c>
      <c r="E779">
        <v>2</v>
      </c>
      <c r="F779" t="s">
        <v>151</v>
      </c>
      <c r="G779" t="s">
        <v>697</v>
      </c>
      <c r="H779" t="s">
        <v>84</v>
      </c>
      <c r="I779" t="s">
        <v>23</v>
      </c>
      <c r="J779" t="s">
        <v>105</v>
      </c>
      <c r="K779" t="s">
        <v>38</v>
      </c>
      <c r="L779" t="s">
        <v>39</v>
      </c>
      <c r="M779" t="s">
        <v>27</v>
      </c>
      <c r="N779" t="s">
        <v>30</v>
      </c>
      <c r="O779" t="s">
        <v>1502</v>
      </c>
      <c r="P779">
        <v>544.01</v>
      </c>
      <c r="Q779">
        <v>3</v>
      </c>
      <c r="R779">
        <v>0.2</v>
      </c>
      <c r="S779">
        <v>40.799999999999997</v>
      </c>
    </row>
    <row r="780" spans="1:19" x14ac:dyDescent="0.3">
      <c r="A780" t="s">
        <v>1500</v>
      </c>
      <c r="B780">
        <v>2012</v>
      </c>
      <c r="C780" t="s">
        <v>103</v>
      </c>
      <c r="D780" t="s">
        <v>1501</v>
      </c>
      <c r="E780">
        <v>2</v>
      </c>
      <c r="F780" t="s">
        <v>151</v>
      </c>
      <c r="G780" t="s">
        <v>697</v>
      </c>
      <c r="H780" t="s">
        <v>84</v>
      </c>
      <c r="I780" t="s">
        <v>23</v>
      </c>
      <c r="J780" t="s">
        <v>105</v>
      </c>
      <c r="K780" t="s">
        <v>38</v>
      </c>
      <c r="L780" t="s">
        <v>39</v>
      </c>
      <c r="M780" t="s">
        <v>40</v>
      </c>
      <c r="N780" t="s">
        <v>74</v>
      </c>
      <c r="O780" t="s">
        <v>920</v>
      </c>
      <c r="P780">
        <v>59.94</v>
      </c>
      <c r="Q780">
        <v>3</v>
      </c>
      <c r="R780">
        <v>0</v>
      </c>
      <c r="S780">
        <v>28.17</v>
      </c>
    </row>
    <row r="781" spans="1:19" x14ac:dyDescent="0.3">
      <c r="A781" t="s">
        <v>1500</v>
      </c>
      <c r="B781">
        <v>2012</v>
      </c>
      <c r="C781" t="s">
        <v>103</v>
      </c>
      <c r="D781" t="s">
        <v>1501</v>
      </c>
      <c r="E781">
        <v>2</v>
      </c>
      <c r="F781" t="s">
        <v>151</v>
      </c>
      <c r="G781" t="s">
        <v>697</v>
      </c>
      <c r="H781" t="s">
        <v>84</v>
      </c>
      <c r="I781" t="s">
        <v>23</v>
      </c>
      <c r="J781" t="s">
        <v>105</v>
      </c>
      <c r="K781" t="s">
        <v>38</v>
      </c>
      <c r="L781" t="s">
        <v>39</v>
      </c>
      <c r="M781" t="s">
        <v>40</v>
      </c>
      <c r="N781" t="s">
        <v>74</v>
      </c>
      <c r="O781" t="s">
        <v>902</v>
      </c>
      <c r="P781">
        <v>23.92</v>
      </c>
      <c r="Q781">
        <v>4</v>
      </c>
      <c r="R781">
        <v>0</v>
      </c>
      <c r="S781">
        <v>11.72</v>
      </c>
    </row>
    <row r="782" spans="1:19" x14ac:dyDescent="0.3">
      <c r="A782" t="s">
        <v>1500</v>
      </c>
      <c r="B782">
        <v>2012</v>
      </c>
      <c r="C782" t="s">
        <v>103</v>
      </c>
      <c r="D782" t="s">
        <v>1501</v>
      </c>
      <c r="E782">
        <v>2</v>
      </c>
      <c r="F782" t="s">
        <v>151</v>
      </c>
      <c r="G782" t="s">
        <v>697</v>
      </c>
      <c r="H782" t="s">
        <v>84</v>
      </c>
      <c r="I782" t="s">
        <v>23</v>
      </c>
      <c r="J782" t="s">
        <v>105</v>
      </c>
      <c r="K782" t="s">
        <v>38</v>
      </c>
      <c r="L782" t="s">
        <v>39</v>
      </c>
      <c r="M782" t="s">
        <v>40</v>
      </c>
      <c r="N782" t="s">
        <v>74</v>
      </c>
      <c r="O782" t="s">
        <v>1503</v>
      </c>
      <c r="P782">
        <v>4.28</v>
      </c>
      <c r="Q782">
        <v>1</v>
      </c>
      <c r="R782">
        <v>0</v>
      </c>
      <c r="S782">
        <v>1.93</v>
      </c>
    </row>
    <row r="783" spans="1:19" x14ac:dyDescent="0.3">
      <c r="A783" s="1">
        <v>40978</v>
      </c>
      <c r="B783">
        <v>2012</v>
      </c>
      <c r="C783" t="s">
        <v>43</v>
      </c>
      <c r="D783" s="1">
        <v>41070</v>
      </c>
      <c r="E783">
        <v>3</v>
      </c>
      <c r="F783" t="s">
        <v>20</v>
      </c>
      <c r="G783" t="s">
        <v>1504</v>
      </c>
      <c r="H783" t="s">
        <v>22</v>
      </c>
      <c r="I783" t="s">
        <v>23</v>
      </c>
      <c r="J783" t="s">
        <v>356</v>
      </c>
      <c r="K783" t="s">
        <v>357</v>
      </c>
      <c r="L783" t="s">
        <v>121</v>
      </c>
      <c r="M783" t="s">
        <v>40</v>
      </c>
      <c r="N783" t="s">
        <v>62</v>
      </c>
      <c r="O783" t="s">
        <v>1009</v>
      </c>
      <c r="P783">
        <v>32.07</v>
      </c>
      <c r="Q783">
        <v>5</v>
      </c>
      <c r="R783">
        <v>0.7</v>
      </c>
      <c r="S783">
        <v>-22.45</v>
      </c>
    </row>
    <row r="784" spans="1:19" x14ac:dyDescent="0.3">
      <c r="A784" s="1">
        <v>40978</v>
      </c>
      <c r="B784">
        <v>2012</v>
      </c>
      <c r="C784" t="s">
        <v>43</v>
      </c>
      <c r="D784" s="1">
        <v>41070</v>
      </c>
      <c r="E784">
        <v>3</v>
      </c>
      <c r="F784" t="s">
        <v>20</v>
      </c>
      <c r="G784" t="s">
        <v>1504</v>
      </c>
      <c r="H784" t="s">
        <v>22</v>
      </c>
      <c r="I784" t="s">
        <v>23</v>
      </c>
      <c r="J784" t="s">
        <v>356</v>
      </c>
      <c r="K784" t="s">
        <v>357</v>
      </c>
      <c r="L784" t="s">
        <v>121</v>
      </c>
      <c r="M784" t="s">
        <v>59</v>
      </c>
      <c r="N784" t="s">
        <v>133</v>
      </c>
      <c r="O784" t="s">
        <v>195</v>
      </c>
      <c r="P784">
        <v>24</v>
      </c>
      <c r="Q784">
        <v>2</v>
      </c>
      <c r="R784">
        <v>0.2</v>
      </c>
      <c r="S784">
        <v>-2.7</v>
      </c>
    </row>
    <row r="785" spans="1:19" x14ac:dyDescent="0.3">
      <c r="A785" s="1">
        <v>40978</v>
      </c>
      <c r="B785">
        <v>2012</v>
      </c>
      <c r="C785" t="s">
        <v>43</v>
      </c>
      <c r="D785" s="1">
        <v>41070</v>
      </c>
      <c r="E785">
        <v>3</v>
      </c>
      <c r="F785" t="s">
        <v>20</v>
      </c>
      <c r="G785" t="s">
        <v>1504</v>
      </c>
      <c r="H785" t="s">
        <v>22</v>
      </c>
      <c r="I785" t="s">
        <v>23</v>
      </c>
      <c r="J785" t="s">
        <v>356</v>
      </c>
      <c r="K785" t="s">
        <v>357</v>
      </c>
      <c r="L785" t="s">
        <v>121</v>
      </c>
      <c r="M785" t="s">
        <v>27</v>
      </c>
      <c r="N785" t="s">
        <v>28</v>
      </c>
      <c r="O785" t="s">
        <v>1505</v>
      </c>
      <c r="P785">
        <v>35.49</v>
      </c>
      <c r="Q785">
        <v>1</v>
      </c>
      <c r="R785">
        <v>0.5</v>
      </c>
      <c r="S785">
        <v>-15.62</v>
      </c>
    </row>
    <row r="786" spans="1:19" x14ac:dyDescent="0.3">
      <c r="A786" s="1">
        <v>40978</v>
      </c>
      <c r="B786">
        <v>2012</v>
      </c>
      <c r="C786" t="s">
        <v>43</v>
      </c>
      <c r="D786" s="1">
        <v>41070</v>
      </c>
      <c r="E786">
        <v>3</v>
      </c>
      <c r="F786" t="s">
        <v>20</v>
      </c>
      <c r="G786" t="s">
        <v>1504</v>
      </c>
      <c r="H786" t="s">
        <v>22</v>
      </c>
      <c r="I786" t="s">
        <v>23</v>
      </c>
      <c r="J786" t="s">
        <v>356</v>
      </c>
      <c r="K786" t="s">
        <v>357</v>
      </c>
      <c r="L786" t="s">
        <v>121</v>
      </c>
      <c r="M786" t="s">
        <v>59</v>
      </c>
      <c r="N786" t="s">
        <v>133</v>
      </c>
      <c r="O786" t="s">
        <v>1506</v>
      </c>
      <c r="P786">
        <v>47.98</v>
      </c>
      <c r="Q786">
        <v>2</v>
      </c>
      <c r="R786">
        <v>0.2</v>
      </c>
      <c r="S786">
        <v>0.6</v>
      </c>
    </row>
    <row r="787" spans="1:19" x14ac:dyDescent="0.3">
      <c r="A787" t="s">
        <v>1507</v>
      </c>
      <c r="B787">
        <v>2012</v>
      </c>
      <c r="C787" t="s">
        <v>96</v>
      </c>
      <c r="D787" t="s">
        <v>439</v>
      </c>
      <c r="E787">
        <v>5</v>
      </c>
      <c r="F787" t="s">
        <v>45</v>
      </c>
      <c r="G787" t="s">
        <v>598</v>
      </c>
      <c r="H787" t="s">
        <v>36</v>
      </c>
      <c r="I787" t="s">
        <v>23</v>
      </c>
      <c r="J787" t="s">
        <v>283</v>
      </c>
      <c r="K787" t="s">
        <v>284</v>
      </c>
      <c r="L787" t="s">
        <v>26</v>
      </c>
      <c r="M787" t="s">
        <v>40</v>
      </c>
      <c r="N787" t="s">
        <v>141</v>
      </c>
      <c r="O787" t="s">
        <v>1508</v>
      </c>
      <c r="P787">
        <v>186.69</v>
      </c>
      <c r="Q787">
        <v>3</v>
      </c>
      <c r="R787">
        <v>0</v>
      </c>
      <c r="S787">
        <v>87.74</v>
      </c>
    </row>
    <row r="788" spans="1:19" x14ac:dyDescent="0.3">
      <c r="A788" t="s">
        <v>1509</v>
      </c>
      <c r="B788">
        <v>2014</v>
      </c>
      <c r="C788" t="s">
        <v>177</v>
      </c>
      <c r="D788" t="s">
        <v>1510</v>
      </c>
      <c r="E788">
        <v>4</v>
      </c>
      <c r="F788" t="s">
        <v>20</v>
      </c>
      <c r="G788" t="s">
        <v>349</v>
      </c>
      <c r="H788" t="s">
        <v>22</v>
      </c>
      <c r="I788" t="s">
        <v>23</v>
      </c>
      <c r="J788" t="s">
        <v>1511</v>
      </c>
      <c r="K788" t="s">
        <v>38</v>
      </c>
      <c r="L788" t="s">
        <v>39</v>
      </c>
      <c r="M788" t="s">
        <v>40</v>
      </c>
      <c r="N788" t="s">
        <v>62</v>
      </c>
      <c r="O788" t="s">
        <v>1512</v>
      </c>
      <c r="P788">
        <v>17.46</v>
      </c>
      <c r="Q788">
        <v>2</v>
      </c>
      <c r="R788">
        <v>0.2</v>
      </c>
      <c r="S788">
        <v>5.89</v>
      </c>
    </row>
    <row r="789" spans="1:19" x14ac:dyDescent="0.3">
      <c r="A789" s="1">
        <v>41255</v>
      </c>
      <c r="B789">
        <v>2012</v>
      </c>
      <c r="C789" t="s">
        <v>76</v>
      </c>
      <c r="D789" t="s">
        <v>1513</v>
      </c>
      <c r="E789">
        <v>4</v>
      </c>
      <c r="F789" t="s">
        <v>45</v>
      </c>
      <c r="G789" t="s">
        <v>1514</v>
      </c>
      <c r="H789" t="s">
        <v>22</v>
      </c>
      <c r="I789" t="s">
        <v>23</v>
      </c>
      <c r="J789" t="s">
        <v>1511</v>
      </c>
      <c r="K789" t="s">
        <v>38</v>
      </c>
      <c r="L789" t="s">
        <v>39</v>
      </c>
      <c r="M789" t="s">
        <v>27</v>
      </c>
      <c r="N789" t="s">
        <v>30</v>
      </c>
      <c r="O789" t="s">
        <v>1515</v>
      </c>
      <c r="P789">
        <v>348.93</v>
      </c>
      <c r="Q789">
        <v>2</v>
      </c>
      <c r="R789">
        <v>0.2</v>
      </c>
      <c r="S789">
        <v>34.89</v>
      </c>
    </row>
    <row r="790" spans="1:19" x14ac:dyDescent="0.3">
      <c r="A790" t="s">
        <v>788</v>
      </c>
      <c r="B790">
        <v>2012</v>
      </c>
      <c r="C790" t="s">
        <v>33</v>
      </c>
      <c r="D790" t="s">
        <v>1516</v>
      </c>
      <c r="E790">
        <v>4</v>
      </c>
      <c r="F790" t="s">
        <v>45</v>
      </c>
      <c r="G790" t="s">
        <v>1055</v>
      </c>
      <c r="H790" t="s">
        <v>22</v>
      </c>
      <c r="I790" t="s">
        <v>23</v>
      </c>
      <c r="J790" t="s">
        <v>929</v>
      </c>
      <c r="K790" t="s">
        <v>241</v>
      </c>
      <c r="L790" t="s">
        <v>26</v>
      </c>
      <c r="M790" t="s">
        <v>40</v>
      </c>
      <c r="N790" t="s">
        <v>62</v>
      </c>
      <c r="O790" t="s">
        <v>949</v>
      </c>
      <c r="P790">
        <v>143.96</v>
      </c>
      <c r="Q790">
        <v>4</v>
      </c>
      <c r="R790">
        <v>0</v>
      </c>
      <c r="S790">
        <v>69.099999999999994</v>
      </c>
    </row>
    <row r="791" spans="1:19" x14ac:dyDescent="0.3">
      <c r="A791" t="s">
        <v>788</v>
      </c>
      <c r="B791">
        <v>2012</v>
      </c>
      <c r="C791" t="s">
        <v>33</v>
      </c>
      <c r="D791" t="s">
        <v>1516</v>
      </c>
      <c r="E791">
        <v>4</v>
      </c>
      <c r="F791" t="s">
        <v>45</v>
      </c>
      <c r="G791" t="s">
        <v>1055</v>
      </c>
      <c r="H791" t="s">
        <v>22</v>
      </c>
      <c r="I791" t="s">
        <v>23</v>
      </c>
      <c r="J791" t="s">
        <v>929</v>
      </c>
      <c r="K791" t="s">
        <v>241</v>
      </c>
      <c r="L791" t="s">
        <v>26</v>
      </c>
      <c r="M791" t="s">
        <v>40</v>
      </c>
      <c r="N791" t="s">
        <v>51</v>
      </c>
      <c r="O791" t="s">
        <v>1031</v>
      </c>
      <c r="P791">
        <v>15.42</v>
      </c>
      <c r="Q791">
        <v>1</v>
      </c>
      <c r="R791">
        <v>0</v>
      </c>
      <c r="S791">
        <v>4.16</v>
      </c>
    </row>
    <row r="792" spans="1:19" x14ac:dyDescent="0.3">
      <c r="A792" t="s">
        <v>788</v>
      </c>
      <c r="B792">
        <v>2012</v>
      </c>
      <c r="C792" t="s">
        <v>33</v>
      </c>
      <c r="D792" t="s">
        <v>1516</v>
      </c>
      <c r="E792">
        <v>4</v>
      </c>
      <c r="F792" t="s">
        <v>45</v>
      </c>
      <c r="G792" t="s">
        <v>1055</v>
      </c>
      <c r="H792" t="s">
        <v>22</v>
      </c>
      <c r="I792" t="s">
        <v>23</v>
      </c>
      <c r="J792" t="s">
        <v>929</v>
      </c>
      <c r="K792" t="s">
        <v>241</v>
      </c>
      <c r="L792" t="s">
        <v>26</v>
      </c>
      <c r="M792" t="s">
        <v>40</v>
      </c>
      <c r="N792" t="s">
        <v>62</v>
      </c>
      <c r="O792" t="s">
        <v>1517</v>
      </c>
      <c r="P792">
        <v>43.04</v>
      </c>
      <c r="Q792">
        <v>8</v>
      </c>
      <c r="R792">
        <v>0</v>
      </c>
      <c r="S792">
        <v>21.09</v>
      </c>
    </row>
    <row r="793" spans="1:19" x14ac:dyDescent="0.3">
      <c r="A793" t="s">
        <v>788</v>
      </c>
      <c r="B793">
        <v>2012</v>
      </c>
      <c r="C793" t="s">
        <v>33</v>
      </c>
      <c r="D793" t="s">
        <v>1516</v>
      </c>
      <c r="E793">
        <v>4</v>
      </c>
      <c r="F793" t="s">
        <v>45</v>
      </c>
      <c r="G793" t="s">
        <v>1055</v>
      </c>
      <c r="H793" t="s">
        <v>22</v>
      </c>
      <c r="I793" t="s">
        <v>23</v>
      </c>
      <c r="J793" t="s">
        <v>929</v>
      </c>
      <c r="K793" t="s">
        <v>241</v>
      </c>
      <c r="L793" t="s">
        <v>26</v>
      </c>
      <c r="M793" t="s">
        <v>27</v>
      </c>
      <c r="N793" t="s">
        <v>30</v>
      </c>
      <c r="O793" t="s">
        <v>1518</v>
      </c>
      <c r="P793">
        <v>332.94</v>
      </c>
      <c r="Q793">
        <v>3</v>
      </c>
      <c r="R793">
        <v>0</v>
      </c>
      <c r="S793">
        <v>79.91</v>
      </c>
    </row>
    <row r="794" spans="1:19" x14ac:dyDescent="0.3">
      <c r="A794" t="s">
        <v>1302</v>
      </c>
      <c r="B794">
        <v>2013</v>
      </c>
      <c r="C794" t="s">
        <v>96</v>
      </c>
      <c r="D794" t="s">
        <v>1302</v>
      </c>
      <c r="E794">
        <v>0</v>
      </c>
      <c r="F794" t="s">
        <v>828</v>
      </c>
      <c r="G794" t="s">
        <v>1519</v>
      </c>
      <c r="H794" t="s">
        <v>22</v>
      </c>
      <c r="I794" t="s">
        <v>23</v>
      </c>
      <c r="J794" t="s">
        <v>1520</v>
      </c>
      <c r="K794" t="s">
        <v>73</v>
      </c>
      <c r="L794" t="s">
        <v>26</v>
      </c>
      <c r="M794" t="s">
        <v>59</v>
      </c>
      <c r="N794" t="s">
        <v>60</v>
      </c>
      <c r="O794" t="s">
        <v>1521</v>
      </c>
      <c r="P794">
        <v>1363.96</v>
      </c>
      <c r="Q794">
        <v>5</v>
      </c>
      <c r="R794">
        <v>0.2</v>
      </c>
      <c r="S794">
        <v>85.25</v>
      </c>
    </row>
    <row r="795" spans="1:19" x14ac:dyDescent="0.3">
      <c r="A795" t="s">
        <v>377</v>
      </c>
      <c r="B795">
        <v>2011</v>
      </c>
      <c r="C795" t="s">
        <v>124</v>
      </c>
      <c r="D795" t="s">
        <v>1522</v>
      </c>
      <c r="E795">
        <v>6</v>
      </c>
      <c r="F795" t="s">
        <v>45</v>
      </c>
      <c r="G795" t="s">
        <v>1523</v>
      </c>
      <c r="H795" t="s">
        <v>22</v>
      </c>
      <c r="I795" t="s">
        <v>23</v>
      </c>
      <c r="J795" t="s">
        <v>105</v>
      </c>
      <c r="K795" t="s">
        <v>38</v>
      </c>
      <c r="L795" t="s">
        <v>39</v>
      </c>
      <c r="M795" t="s">
        <v>40</v>
      </c>
      <c r="N795" t="s">
        <v>41</v>
      </c>
      <c r="O795" t="s">
        <v>1524</v>
      </c>
      <c r="P795">
        <v>9.9600000000000009</v>
      </c>
      <c r="Q795">
        <v>2</v>
      </c>
      <c r="R795">
        <v>0</v>
      </c>
      <c r="S795">
        <v>4.58</v>
      </c>
    </row>
    <row r="796" spans="1:19" x14ac:dyDescent="0.3">
      <c r="A796" t="s">
        <v>377</v>
      </c>
      <c r="B796">
        <v>2011</v>
      </c>
      <c r="C796" t="s">
        <v>124</v>
      </c>
      <c r="D796" t="s">
        <v>1522</v>
      </c>
      <c r="E796">
        <v>6</v>
      </c>
      <c r="F796" t="s">
        <v>45</v>
      </c>
      <c r="G796" t="s">
        <v>1523</v>
      </c>
      <c r="H796" t="s">
        <v>22</v>
      </c>
      <c r="I796" t="s">
        <v>23</v>
      </c>
      <c r="J796" t="s">
        <v>105</v>
      </c>
      <c r="K796" t="s">
        <v>38</v>
      </c>
      <c r="L796" t="s">
        <v>39</v>
      </c>
      <c r="M796" t="s">
        <v>40</v>
      </c>
      <c r="N796" t="s">
        <v>74</v>
      </c>
      <c r="O796" t="s">
        <v>912</v>
      </c>
      <c r="P796">
        <v>21.72</v>
      </c>
      <c r="Q796">
        <v>4</v>
      </c>
      <c r="R796">
        <v>0</v>
      </c>
      <c r="S796">
        <v>10.64</v>
      </c>
    </row>
    <row r="797" spans="1:19" x14ac:dyDescent="0.3">
      <c r="A797" t="s">
        <v>1525</v>
      </c>
      <c r="B797">
        <v>2014</v>
      </c>
      <c r="C797" t="s">
        <v>124</v>
      </c>
      <c r="D797" t="s">
        <v>1292</v>
      </c>
      <c r="E797">
        <v>5</v>
      </c>
      <c r="F797" t="s">
        <v>45</v>
      </c>
      <c r="G797" t="s">
        <v>1526</v>
      </c>
      <c r="H797" t="s">
        <v>22</v>
      </c>
      <c r="I797" t="s">
        <v>23</v>
      </c>
      <c r="J797" t="s">
        <v>288</v>
      </c>
      <c r="K797" t="s">
        <v>181</v>
      </c>
      <c r="L797" t="s">
        <v>87</v>
      </c>
      <c r="M797" t="s">
        <v>40</v>
      </c>
      <c r="N797" t="s">
        <v>62</v>
      </c>
      <c r="O797" t="s">
        <v>1463</v>
      </c>
      <c r="P797">
        <v>20.16</v>
      </c>
      <c r="Q797">
        <v>7</v>
      </c>
      <c r="R797">
        <v>0</v>
      </c>
      <c r="S797">
        <v>9.8800000000000008</v>
      </c>
    </row>
    <row r="798" spans="1:19" x14ac:dyDescent="0.3">
      <c r="A798" t="s">
        <v>578</v>
      </c>
      <c r="B798">
        <v>2012</v>
      </c>
      <c r="C798" t="s">
        <v>76</v>
      </c>
      <c r="D798" t="s">
        <v>1126</v>
      </c>
      <c r="E798">
        <v>2</v>
      </c>
      <c r="F798" t="s">
        <v>151</v>
      </c>
      <c r="G798" t="s">
        <v>606</v>
      </c>
      <c r="H798" t="s">
        <v>36</v>
      </c>
      <c r="I798" t="s">
        <v>23</v>
      </c>
      <c r="J798" t="s">
        <v>288</v>
      </c>
      <c r="K798" t="s">
        <v>209</v>
      </c>
      <c r="L798" t="s">
        <v>121</v>
      </c>
      <c r="M798" t="s">
        <v>40</v>
      </c>
      <c r="N798" t="s">
        <v>74</v>
      </c>
      <c r="O798" t="s">
        <v>1527</v>
      </c>
      <c r="P798">
        <v>132.79</v>
      </c>
      <c r="Q798">
        <v>7</v>
      </c>
      <c r="R798">
        <v>0</v>
      </c>
      <c r="S798">
        <v>63.74</v>
      </c>
    </row>
    <row r="799" spans="1:19" x14ac:dyDescent="0.3">
      <c r="A799" t="s">
        <v>578</v>
      </c>
      <c r="B799">
        <v>2012</v>
      </c>
      <c r="C799" t="s">
        <v>76</v>
      </c>
      <c r="D799" t="s">
        <v>1126</v>
      </c>
      <c r="E799">
        <v>2</v>
      </c>
      <c r="F799" t="s">
        <v>151</v>
      </c>
      <c r="G799" t="s">
        <v>606</v>
      </c>
      <c r="H799" t="s">
        <v>36</v>
      </c>
      <c r="I799" t="s">
        <v>23</v>
      </c>
      <c r="J799" t="s">
        <v>288</v>
      </c>
      <c r="K799" t="s">
        <v>209</v>
      </c>
      <c r="L799" t="s">
        <v>121</v>
      </c>
      <c r="M799" t="s">
        <v>40</v>
      </c>
      <c r="N799" t="s">
        <v>74</v>
      </c>
      <c r="O799" t="s">
        <v>75</v>
      </c>
      <c r="P799">
        <v>12.96</v>
      </c>
      <c r="Q799">
        <v>2</v>
      </c>
      <c r="R799">
        <v>0</v>
      </c>
      <c r="S799">
        <v>6.22</v>
      </c>
    </row>
    <row r="800" spans="1:19" x14ac:dyDescent="0.3">
      <c r="A800" t="s">
        <v>578</v>
      </c>
      <c r="B800">
        <v>2012</v>
      </c>
      <c r="C800" t="s">
        <v>76</v>
      </c>
      <c r="D800" t="s">
        <v>1126</v>
      </c>
      <c r="E800">
        <v>2</v>
      </c>
      <c r="F800" t="s">
        <v>151</v>
      </c>
      <c r="G800" t="s">
        <v>606</v>
      </c>
      <c r="H800" t="s">
        <v>36</v>
      </c>
      <c r="I800" t="s">
        <v>23</v>
      </c>
      <c r="J800" t="s">
        <v>288</v>
      </c>
      <c r="K800" t="s">
        <v>209</v>
      </c>
      <c r="L800" t="s">
        <v>121</v>
      </c>
      <c r="M800" t="s">
        <v>40</v>
      </c>
      <c r="N800" t="s">
        <v>41</v>
      </c>
      <c r="O800" t="s">
        <v>1528</v>
      </c>
      <c r="P800">
        <v>21.56</v>
      </c>
      <c r="Q800">
        <v>7</v>
      </c>
      <c r="R800">
        <v>0</v>
      </c>
      <c r="S800">
        <v>10.35</v>
      </c>
    </row>
    <row r="801" spans="1:19" x14ac:dyDescent="0.3">
      <c r="A801" t="s">
        <v>864</v>
      </c>
      <c r="B801">
        <v>2012</v>
      </c>
      <c r="C801" t="s">
        <v>19</v>
      </c>
      <c r="D801" s="1">
        <v>40980</v>
      </c>
      <c r="E801">
        <v>6</v>
      </c>
      <c r="F801" t="s">
        <v>45</v>
      </c>
      <c r="G801" t="s">
        <v>1529</v>
      </c>
      <c r="H801" t="s">
        <v>22</v>
      </c>
      <c r="I801" t="s">
        <v>23</v>
      </c>
      <c r="J801" t="s">
        <v>1530</v>
      </c>
      <c r="K801" t="s">
        <v>38</v>
      </c>
      <c r="L801" t="s">
        <v>39</v>
      </c>
      <c r="M801" t="s">
        <v>27</v>
      </c>
      <c r="N801" t="s">
        <v>30</v>
      </c>
      <c r="O801" t="s">
        <v>1152</v>
      </c>
      <c r="P801">
        <v>283.92</v>
      </c>
      <c r="Q801">
        <v>5</v>
      </c>
      <c r="R801">
        <v>0.2</v>
      </c>
      <c r="S801">
        <v>17.75</v>
      </c>
    </row>
    <row r="802" spans="1:19" x14ac:dyDescent="0.3">
      <c r="A802" t="s">
        <v>1531</v>
      </c>
      <c r="B802">
        <v>2014</v>
      </c>
      <c r="C802" t="s">
        <v>389</v>
      </c>
      <c r="D802" t="s">
        <v>1532</v>
      </c>
      <c r="E802">
        <v>3</v>
      </c>
      <c r="F802" t="s">
        <v>151</v>
      </c>
      <c r="G802" t="s">
        <v>1533</v>
      </c>
      <c r="H802" t="s">
        <v>36</v>
      </c>
      <c r="I802" t="s">
        <v>23</v>
      </c>
      <c r="J802" t="s">
        <v>624</v>
      </c>
      <c r="K802" t="s">
        <v>38</v>
      </c>
      <c r="L802" t="s">
        <v>39</v>
      </c>
      <c r="M802" t="s">
        <v>27</v>
      </c>
      <c r="N802" t="s">
        <v>55</v>
      </c>
      <c r="O802" t="s">
        <v>1534</v>
      </c>
      <c r="P802">
        <v>22.23</v>
      </c>
      <c r="Q802">
        <v>1</v>
      </c>
      <c r="R802">
        <v>0</v>
      </c>
      <c r="S802">
        <v>7.34</v>
      </c>
    </row>
    <row r="803" spans="1:19" x14ac:dyDescent="0.3">
      <c r="A803" t="s">
        <v>1531</v>
      </c>
      <c r="B803">
        <v>2014</v>
      </c>
      <c r="C803" t="s">
        <v>389</v>
      </c>
      <c r="D803" t="s">
        <v>1532</v>
      </c>
      <c r="E803">
        <v>3</v>
      </c>
      <c r="F803" t="s">
        <v>151</v>
      </c>
      <c r="G803" t="s">
        <v>1533</v>
      </c>
      <c r="H803" t="s">
        <v>36</v>
      </c>
      <c r="I803" t="s">
        <v>23</v>
      </c>
      <c r="J803" t="s">
        <v>624</v>
      </c>
      <c r="K803" t="s">
        <v>38</v>
      </c>
      <c r="L803" t="s">
        <v>39</v>
      </c>
      <c r="M803" t="s">
        <v>59</v>
      </c>
      <c r="N803" t="s">
        <v>60</v>
      </c>
      <c r="O803" t="s">
        <v>632</v>
      </c>
      <c r="P803">
        <v>215.97</v>
      </c>
      <c r="Q803">
        <v>2</v>
      </c>
      <c r="R803">
        <v>0.2</v>
      </c>
      <c r="S803">
        <v>18.899999999999999</v>
      </c>
    </row>
    <row r="804" spans="1:19" x14ac:dyDescent="0.3">
      <c r="A804" t="s">
        <v>1535</v>
      </c>
      <c r="B804">
        <v>2013</v>
      </c>
      <c r="C804" t="s">
        <v>103</v>
      </c>
      <c r="D804" t="s">
        <v>1536</v>
      </c>
      <c r="E804">
        <v>5</v>
      </c>
      <c r="F804" t="s">
        <v>20</v>
      </c>
      <c r="G804" t="s">
        <v>1533</v>
      </c>
      <c r="H804" t="s">
        <v>36</v>
      </c>
      <c r="I804" t="s">
        <v>23</v>
      </c>
      <c r="J804" t="s">
        <v>208</v>
      </c>
      <c r="K804" t="s">
        <v>209</v>
      </c>
      <c r="L804" t="s">
        <v>121</v>
      </c>
      <c r="M804" t="s">
        <v>40</v>
      </c>
      <c r="N804" t="s">
        <v>64</v>
      </c>
      <c r="O804" t="s">
        <v>1537</v>
      </c>
      <c r="P804">
        <v>355.32</v>
      </c>
      <c r="Q804">
        <v>9</v>
      </c>
      <c r="R804">
        <v>0</v>
      </c>
      <c r="S804">
        <v>99.49</v>
      </c>
    </row>
    <row r="805" spans="1:19" x14ac:dyDescent="0.3">
      <c r="A805" t="s">
        <v>1538</v>
      </c>
      <c r="B805">
        <v>2013</v>
      </c>
      <c r="C805" t="s">
        <v>177</v>
      </c>
      <c r="D805" t="s">
        <v>1539</v>
      </c>
      <c r="E805">
        <v>5</v>
      </c>
      <c r="F805" t="s">
        <v>45</v>
      </c>
      <c r="G805" t="s">
        <v>1540</v>
      </c>
      <c r="H805" t="s">
        <v>36</v>
      </c>
      <c r="I805" t="s">
        <v>23</v>
      </c>
      <c r="J805" t="s">
        <v>499</v>
      </c>
      <c r="K805" t="s">
        <v>500</v>
      </c>
      <c r="L805" t="s">
        <v>26</v>
      </c>
      <c r="M805" t="s">
        <v>40</v>
      </c>
      <c r="N805" t="s">
        <v>74</v>
      </c>
      <c r="O805" t="s">
        <v>1541</v>
      </c>
      <c r="P805">
        <v>12.96</v>
      </c>
      <c r="Q805">
        <v>2</v>
      </c>
      <c r="R805">
        <v>0</v>
      </c>
      <c r="S805">
        <v>6.22</v>
      </c>
    </row>
    <row r="806" spans="1:19" x14ac:dyDescent="0.3">
      <c r="A806" t="s">
        <v>1542</v>
      </c>
      <c r="B806">
        <v>2014</v>
      </c>
      <c r="C806" t="s">
        <v>69</v>
      </c>
      <c r="D806" t="s">
        <v>1543</v>
      </c>
      <c r="E806">
        <v>2</v>
      </c>
      <c r="F806" t="s">
        <v>151</v>
      </c>
      <c r="G806" t="s">
        <v>1544</v>
      </c>
      <c r="H806" t="s">
        <v>22</v>
      </c>
      <c r="I806" t="s">
        <v>23</v>
      </c>
      <c r="J806" t="s">
        <v>105</v>
      </c>
      <c r="K806" t="s">
        <v>38</v>
      </c>
      <c r="L806" t="s">
        <v>39</v>
      </c>
      <c r="M806" t="s">
        <v>27</v>
      </c>
      <c r="N806" t="s">
        <v>55</v>
      </c>
      <c r="O806" t="s">
        <v>1545</v>
      </c>
      <c r="P806">
        <v>18.28</v>
      </c>
      <c r="Q806">
        <v>2</v>
      </c>
      <c r="R806">
        <v>0</v>
      </c>
      <c r="S806">
        <v>6.22</v>
      </c>
    </row>
    <row r="807" spans="1:19" x14ac:dyDescent="0.3">
      <c r="A807" s="1">
        <v>40554</v>
      </c>
      <c r="B807">
        <v>2011</v>
      </c>
      <c r="C807" t="s">
        <v>19</v>
      </c>
      <c r="D807" s="1">
        <v>40735</v>
      </c>
      <c r="E807">
        <v>6</v>
      </c>
      <c r="F807" t="s">
        <v>45</v>
      </c>
      <c r="G807" t="s">
        <v>853</v>
      </c>
      <c r="H807" t="s">
        <v>22</v>
      </c>
      <c r="I807" t="s">
        <v>23</v>
      </c>
      <c r="J807" t="s">
        <v>546</v>
      </c>
      <c r="K807" t="s">
        <v>329</v>
      </c>
      <c r="L807" t="s">
        <v>39</v>
      </c>
      <c r="M807" t="s">
        <v>40</v>
      </c>
      <c r="N807" t="s">
        <v>57</v>
      </c>
      <c r="O807" t="s">
        <v>1546</v>
      </c>
      <c r="P807">
        <v>43.18</v>
      </c>
      <c r="Q807">
        <v>3</v>
      </c>
      <c r="R807">
        <v>0.2</v>
      </c>
      <c r="S807">
        <v>4.32</v>
      </c>
    </row>
    <row r="808" spans="1:19" x14ac:dyDescent="0.3">
      <c r="A808" s="1">
        <v>40554</v>
      </c>
      <c r="B808">
        <v>2011</v>
      </c>
      <c r="C808" t="s">
        <v>19</v>
      </c>
      <c r="D808" s="1">
        <v>40735</v>
      </c>
      <c r="E808">
        <v>6</v>
      </c>
      <c r="F808" t="s">
        <v>45</v>
      </c>
      <c r="G808" t="s">
        <v>853</v>
      </c>
      <c r="H808" t="s">
        <v>22</v>
      </c>
      <c r="I808" t="s">
        <v>23</v>
      </c>
      <c r="J808" t="s">
        <v>546</v>
      </c>
      <c r="K808" t="s">
        <v>329</v>
      </c>
      <c r="L808" t="s">
        <v>39</v>
      </c>
      <c r="M808" t="s">
        <v>59</v>
      </c>
      <c r="N808" t="s">
        <v>60</v>
      </c>
      <c r="O808" t="s">
        <v>1547</v>
      </c>
      <c r="P808">
        <v>1983.97</v>
      </c>
      <c r="Q808">
        <v>4</v>
      </c>
      <c r="R808">
        <v>0.2</v>
      </c>
      <c r="S808">
        <v>248</v>
      </c>
    </row>
    <row r="809" spans="1:19" x14ac:dyDescent="0.3">
      <c r="A809" s="1">
        <v>40970</v>
      </c>
      <c r="B809">
        <v>2012</v>
      </c>
      <c r="C809" t="s">
        <v>389</v>
      </c>
      <c r="D809" s="1">
        <v>41031</v>
      </c>
      <c r="E809">
        <v>2</v>
      </c>
      <c r="F809" t="s">
        <v>151</v>
      </c>
      <c r="G809" t="s">
        <v>1144</v>
      </c>
      <c r="H809" t="s">
        <v>22</v>
      </c>
      <c r="I809" t="s">
        <v>23</v>
      </c>
      <c r="J809" t="s">
        <v>1548</v>
      </c>
      <c r="K809" t="s">
        <v>112</v>
      </c>
      <c r="L809" t="s">
        <v>87</v>
      </c>
      <c r="M809" t="s">
        <v>27</v>
      </c>
      <c r="N809" t="s">
        <v>55</v>
      </c>
      <c r="O809" t="s">
        <v>948</v>
      </c>
      <c r="P809">
        <v>28.4</v>
      </c>
      <c r="Q809">
        <v>2</v>
      </c>
      <c r="R809">
        <v>0</v>
      </c>
      <c r="S809">
        <v>11.08</v>
      </c>
    </row>
    <row r="810" spans="1:19" x14ac:dyDescent="0.3">
      <c r="A810" s="1">
        <v>40970</v>
      </c>
      <c r="B810">
        <v>2012</v>
      </c>
      <c r="C810" t="s">
        <v>389</v>
      </c>
      <c r="D810" s="1">
        <v>41031</v>
      </c>
      <c r="E810">
        <v>2</v>
      </c>
      <c r="F810" t="s">
        <v>151</v>
      </c>
      <c r="G810" t="s">
        <v>1144</v>
      </c>
      <c r="H810" t="s">
        <v>22</v>
      </c>
      <c r="I810" t="s">
        <v>23</v>
      </c>
      <c r="J810" t="s">
        <v>1548</v>
      </c>
      <c r="K810" t="s">
        <v>112</v>
      </c>
      <c r="L810" t="s">
        <v>87</v>
      </c>
      <c r="M810" t="s">
        <v>59</v>
      </c>
      <c r="N810" t="s">
        <v>133</v>
      </c>
      <c r="O810" t="s">
        <v>1549</v>
      </c>
      <c r="P810">
        <v>149.97</v>
      </c>
      <c r="Q810">
        <v>3</v>
      </c>
      <c r="R810">
        <v>0</v>
      </c>
      <c r="S810">
        <v>50.99</v>
      </c>
    </row>
    <row r="811" spans="1:19" x14ac:dyDescent="0.3">
      <c r="A811" t="s">
        <v>1427</v>
      </c>
      <c r="B811">
        <v>2011</v>
      </c>
      <c r="C811" t="s">
        <v>43</v>
      </c>
      <c r="D811" t="s">
        <v>1550</v>
      </c>
      <c r="E811">
        <v>2</v>
      </c>
      <c r="F811" t="s">
        <v>151</v>
      </c>
      <c r="G811" t="s">
        <v>1225</v>
      </c>
      <c r="H811" t="s">
        <v>22</v>
      </c>
      <c r="I811" t="s">
        <v>23</v>
      </c>
      <c r="J811" t="s">
        <v>1551</v>
      </c>
      <c r="K811" t="s">
        <v>79</v>
      </c>
      <c r="L811" t="s">
        <v>39</v>
      </c>
      <c r="M811" t="s">
        <v>40</v>
      </c>
      <c r="N811" t="s">
        <v>57</v>
      </c>
      <c r="O811" t="s">
        <v>1552</v>
      </c>
      <c r="P811">
        <v>11.52</v>
      </c>
      <c r="Q811">
        <v>4</v>
      </c>
      <c r="R811">
        <v>0</v>
      </c>
      <c r="S811">
        <v>3.23</v>
      </c>
    </row>
    <row r="812" spans="1:19" x14ac:dyDescent="0.3">
      <c r="A812" t="s">
        <v>1427</v>
      </c>
      <c r="B812">
        <v>2011</v>
      </c>
      <c r="C812" t="s">
        <v>43</v>
      </c>
      <c r="D812" t="s">
        <v>1550</v>
      </c>
      <c r="E812">
        <v>2</v>
      </c>
      <c r="F812" t="s">
        <v>151</v>
      </c>
      <c r="G812" t="s">
        <v>1225</v>
      </c>
      <c r="H812" t="s">
        <v>22</v>
      </c>
      <c r="I812" t="s">
        <v>23</v>
      </c>
      <c r="J812" t="s">
        <v>1551</v>
      </c>
      <c r="K812" t="s">
        <v>79</v>
      </c>
      <c r="L812" t="s">
        <v>39</v>
      </c>
      <c r="M812" t="s">
        <v>27</v>
      </c>
      <c r="N812" t="s">
        <v>49</v>
      </c>
      <c r="O812" t="s">
        <v>688</v>
      </c>
      <c r="P812">
        <v>1298.55</v>
      </c>
      <c r="Q812">
        <v>5</v>
      </c>
      <c r="R812">
        <v>0</v>
      </c>
      <c r="S812">
        <v>311.64999999999998</v>
      </c>
    </row>
    <row r="813" spans="1:19" x14ac:dyDescent="0.3">
      <c r="A813" t="s">
        <v>1427</v>
      </c>
      <c r="B813">
        <v>2011</v>
      </c>
      <c r="C813" t="s">
        <v>43</v>
      </c>
      <c r="D813" t="s">
        <v>1550</v>
      </c>
      <c r="E813">
        <v>2</v>
      </c>
      <c r="F813" t="s">
        <v>151</v>
      </c>
      <c r="G813" t="s">
        <v>1225</v>
      </c>
      <c r="H813" t="s">
        <v>22</v>
      </c>
      <c r="I813" t="s">
        <v>23</v>
      </c>
      <c r="J813" t="s">
        <v>1551</v>
      </c>
      <c r="K813" t="s">
        <v>79</v>
      </c>
      <c r="L813" t="s">
        <v>39</v>
      </c>
      <c r="M813" t="s">
        <v>40</v>
      </c>
      <c r="N813" t="s">
        <v>64</v>
      </c>
      <c r="O813" t="s">
        <v>1553</v>
      </c>
      <c r="P813">
        <v>213.92</v>
      </c>
      <c r="Q813">
        <v>4</v>
      </c>
      <c r="R813">
        <v>0</v>
      </c>
      <c r="S813">
        <v>62.04</v>
      </c>
    </row>
    <row r="814" spans="1:19" x14ac:dyDescent="0.3">
      <c r="A814" t="s">
        <v>1427</v>
      </c>
      <c r="B814">
        <v>2011</v>
      </c>
      <c r="C814" t="s">
        <v>43</v>
      </c>
      <c r="D814" t="s">
        <v>1550</v>
      </c>
      <c r="E814">
        <v>2</v>
      </c>
      <c r="F814" t="s">
        <v>151</v>
      </c>
      <c r="G814" t="s">
        <v>1225</v>
      </c>
      <c r="H814" t="s">
        <v>22</v>
      </c>
      <c r="I814" t="s">
        <v>23</v>
      </c>
      <c r="J814" t="s">
        <v>1551</v>
      </c>
      <c r="K814" t="s">
        <v>79</v>
      </c>
      <c r="L814" t="s">
        <v>39</v>
      </c>
      <c r="M814" t="s">
        <v>59</v>
      </c>
      <c r="N814" t="s">
        <v>133</v>
      </c>
      <c r="O814" t="s">
        <v>1329</v>
      </c>
      <c r="P814">
        <v>25.78</v>
      </c>
      <c r="Q814">
        <v>2</v>
      </c>
      <c r="R814">
        <v>0</v>
      </c>
      <c r="S814">
        <v>2.58</v>
      </c>
    </row>
    <row r="815" spans="1:19" x14ac:dyDescent="0.3">
      <c r="A815" t="s">
        <v>1554</v>
      </c>
      <c r="B815">
        <v>2014</v>
      </c>
      <c r="C815" t="s">
        <v>96</v>
      </c>
      <c r="D815" t="s">
        <v>1554</v>
      </c>
      <c r="E815">
        <v>0</v>
      </c>
      <c r="F815" t="s">
        <v>828</v>
      </c>
      <c r="G815" t="s">
        <v>1555</v>
      </c>
      <c r="H815" t="s">
        <v>22</v>
      </c>
      <c r="I815" t="s">
        <v>23</v>
      </c>
      <c r="J815" t="s">
        <v>1556</v>
      </c>
      <c r="K815" t="s">
        <v>38</v>
      </c>
      <c r="L815" t="s">
        <v>39</v>
      </c>
      <c r="M815" t="s">
        <v>27</v>
      </c>
      <c r="N815" t="s">
        <v>55</v>
      </c>
      <c r="O815" t="s">
        <v>1545</v>
      </c>
      <c r="P815">
        <v>18.28</v>
      </c>
      <c r="Q815">
        <v>2</v>
      </c>
      <c r="R815">
        <v>0</v>
      </c>
      <c r="S815">
        <v>6.22</v>
      </c>
    </row>
    <row r="816" spans="1:19" x14ac:dyDescent="0.3">
      <c r="A816" t="s">
        <v>1554</v>
      </c>
      <c r="B816">
        <v>2014</v>
      </c>
      <c r="C816" t="s">
        <v>96</v>
      </c>
      <c r="D816" t="s">
        <v>1554</v>
      </c>
      <c r="E816">
        <v>0</v>
      </c>
      <c r="F816" t="s">
        <v>828</v>
      </c>
      <c r="G816" t="s">
        <v>1555</v>
      </c>
      <c r="H816" t="s">
        <v>22</v>
      </c>
      <c r="I816" t="s">
        <v>23</v>
      </c>
      <c r="J816" t="s">
        <v>1556</v>
      </c>
      <c r="K816" t="s">
        <v>38</v>
      </c>
      <c r="L816" t="s">
        <v>39</v>
      </c>
      <c r="M816" t="s">
        <v>59</v>
      </c>
      <c r="N816" t="s">
        <v>133</v>
      </c>
      <c r="O816" t="s">
        <v>1557</v>
      </c>
      <c r="P816">
        <v>1399.93</v>
      </c>
      <c r="Q816">
        <v>7</v>
      </c>
      <c r="R816">
        <v>0</v>
      </c>
      <c r="S816">
        <v>601.97</v>
      </c>
    </row>
    <row r="817" spans="1:19" x14ac:dyDescent="0.3">
      <c r="A817" t="s">
        <v>1558</v>
      </c>
      <c r="B817">
        <v>2012</v>
      </c>
      <c r="C817" t="s">
        <v>177</v>
      </c>
      <c r="D817" t="s">
        <v>1559</v>
      </c>
      <c r="E817">
        <v>3</v>
      </c>
      <c r="F817" t="s">
        <v>151</v>
      </c>
      <c r="G817" t="s">
        <v>1560</v>
      </c>
      <c r="H817" t="s">
        <v>36</v>
      </c>
      <c r="I817" t="s">
        <v>23</v>
      </c>
      <c r="J817" t="s">
        <v>1561</v>
      </c>
      <c r="K817" t="s">
        <v>93</v>
      </c>
      <c r="L817" t="s">
        <v>87</v>
      </c>
      <c r="M817" t="s">
        <v>40</v>
      </c>
      <c r="N817" t="s">
        <v>74</v>
      </c>
      <c r="O817" t="s">
        <v>521</v>
      </c>
      <c r="P817">
        <v>51.84</v>
      </c>
      <c r="Q817">
        <v>8</v>
      </c>
      <c r="R817">
        <v>0</v>
      </c>
      <c r="S817">
        <v>24.88</v>
      </c>
    </row>
    <row r="818" spans="1:19" x14ac:dyDescent="0.3">
      <c r="A818" t="s">
        <v>1562</v>
      </c>
      <c r="B818">
        <v>2013</v>
      </c>
      <c r="C818" t="s">
        <v>124</v>
      </c>
      <c r="D818" t="s">
        <v>1336</v>
      </c>
      <c r="E818">
        <v>4</v>
      </c>
      <c r="F818" t="s">
        <v>45</v>
      </c>
      <c r="G818" t="s">
        <v>1117</v>
      </c>
      <c r="H818" t="s">
        <v>22</v>
      </c>
      <c r="I818" t="s">
        <v>23</v>
      </c>
      <c r="J818" t="s">
        <v>119</v>
      </c>
      <c r="K818" t="s">
        <v>120</v>
      </c>
      <c r="L818" t="s">
        <v>121</v>
      </c>
      <c r="M818" t="s">
        <v>40</v>
      </c>
      <c r="N818" t="s">
        <v>74</v>
      </c>
      <c r="O818" t="s">
        <v>1563</v>
      </c>
      <c r="P818">
        <v>5.34</v>
      </c>
      <c r="Q818">
        <v>1</v>
      </c>
      <c r="R818">
        <v>0.2</v>
      </c>
      <c r="S818">
        <v>1.87</v>
      </c>
    </row>
    <row r="819" spans="1:19" x14ac:dyDescent="0.3">
      <c r="A819" t="s">
        <v>1564</v>
      </c>
      <c r="B819">
        <v>2011</v>
      </c>
      <c r="C819" t="s">
        <v>33</v>
      </c>
      <c r="D819" s="1">
        <v>40581</v>
      </c>
      <c r="E819">
        <v>4</v>
      </c>
      <c r="F819" t="s">
        <v>45</v>
      </c>
      <c r="G819" t="s">
        <v>1189</v>
      </c>
      <c r="H819" t="s">
        <v>22</v>
      </c>
      <c r="I819" t="s">
        <v>23</v>
      </c>
      <c r="J819" t="s">
        <v>119</v>
      </c>
      <c r="K819" t="s">
        <v>120</v>
      </c>
      <c r="L819" t="s">
        <v>121</v>
      </c>
      <c r="M819" t="s">
        <v>40</v>
      </c>
      <c r="N819" t="s">
        <v>74</v>
      </c>
      <c r="O819" t="s">
        <v>297</v>
      </c>
      <c r="P819">
        <v>41.47</v>
      </c>
      <c r="Q819">
        <v>8</v>
      </c>
      <c r="R819">
        <v>0.2</v>
      </c>
      <c r="S819">
        <v>14.52</v>
      </c>
    </row>
    <row r="820" spans="1:19" x14ac:dyDescent="0.3">
      <c r="A820" t="s">
        <v>1564</v>
      </c>
      <c r="B820">
        <v>2011</v>
      </c>
      <c r="C820" t="s">
        <v>33</v>
      </c>
      <c r="D820" s="1">
        <v>40581</v>
      </c>
      <c r="E820">
        <v>4</v>
      </c>
      <c r="F820" t="s">
        <v>45</v>
      </c>
      <c r="G820" t="s">
        <v>1189</v>
      </c>
      <c r="H820" t="s">
        <v>22</v>
      </c>
      <c r="I820" t="s">
        <v>23</v>
      </c>
      <c r="J820" t="s">
        <v>119</v>
      </c>
      <c r="K820" t="s">
        <v>120</v>
      </c>
      <c r="L820" t="s">
        <v>121</v>
      </c>
      <c r="M820" t="s">
        <v>40</v>
      </c>
      <c r="N820" t="s">
        <v>62</v>
      </c>
      <c r="O820" t="s">
        <v>1565</v>
      </c>
      <c r="P820">
        <v>3.17</v>
      </c>
      <c r="Q820">
        <v>3</v>
      </c>
      <c r="R820">
        <v>0.7</v>
      </c>
      <c r="S820">
        <v>-2.4300000000000002</v>
      </c>
    </row>
    <row r="821" spans="1:19" x14ac:dyDescent="0.3">
      <c r="A821" t="s">
        <v>1564</v>
      </c>
      <c r="B821">
        <v>2011</v>
      </c>
      <c r="C821" t="s">
        <v>33</v>
      </c>
      <c r="D821" s="1">
        <v>40581</v>
      </c>
      <c r="E821">
        <v>4</v>
      </c>
      <c r="F821" t="s">
        <v>45</v>
      </c>
      <c r="G821" t="s">
        <v>1189</v>
      </c>
      <c r="H821" t="s">
        <v>22</v>
      </c>
      <c r="I821" t="s">
        <v>23</v>
      </c>
      <c r="J821" t="s">
        <v>119</v>
      </c>
      <c r="K821" t="s">
        <v>120</v>
      </c>
      <c r="L821" t="s">
        <v>121</v>
      </c>
      <c r="M821" t="s">
        <v>27</v>
      </c>
      <c r="N821" t="s">
        <v>30</v>
      </c>
      <c r="O821" t="s">
        <v>1566</v>
      </c>
      <c r="P821">
        <v>1228.47</v>
      </c>
      <c r="Q821">
        <v>5</v>
      </c>
      <c r="R821">
        <v>0.3</v>
      </c>
      <c r="S821">
        <v>0</v>
      </c>
    </row>
    <row r="822" spans="1:19" x14ac:dyDescent="0.3">
      <c r="A822" t="s">
        <v>1564</v>
      </c>
      <c r="B822">
        <v>2011</v>
      </c>
      <c r="C822" t="s">
        <v>33</v>
      </c>
      <c r="D822" s="1">
        <v>40581</v>
      </c>
      <c r="E822">
        <v>4</v>
      </c>
      <c r="F822" t="s">
        <v>45</v>
      </c>
      <c r="G822" t="s">
        <v>1189</v>
      </c>
      <c r="H822" t="s">
        <v>22</v>
      </c>
      <c r="I822" t="s">
        <v>23</v>
      </c>
      <c r="J822" t="s">
        <v>119</v>
      </c>
      <c r="K822" t="s">
        <v>120</v>
      </c>
      <c r="L822" t="s">
        <v>121</v>
      </c>
      <c r="M822" t="s">
        <v>40</v>
      </c>
      <c r="N822" t="s">
        <v>62</v>
      </c>
      <c r="O822" t="s">
        <v>1567</v>
      </c>
      <c r="P822">
        <v>31.09</v>
      </c>
      <c r="Q822">
        <v>3</v>
      </c>
      <c r="R822">
        <v>0.7</v>
      </c>
      <c r="S822">
        <v>-22.8</v>
      </c>
    </row>
    <row r="823" spans="1:19" x14ac:dyDescent="0.3">
      <c r="A823" t="s">
        <v>1564</v>
      </c>
      <c r="B823">
        <v>2011</v>
      </c>
      <c r="C823" t="s">
        <v>33</v>
      </c>
      <c r="D823" s="1">
        <v>40581</v>
      </c>
      <c r="E823">
        <v>4</v>
      </c>
      <c r="F823" t="s">
        <v>45</v>
      </c>
      <c r="G823" t="s">
        <v>1189</v>
      </c>
      <c r="H823" t="s">
        <v>22</v>
      </c>
      <c r="I823" t="s">
        <v>23</v>
      </c>
      <c r="J823" t="s">
        <v>119</v>
      </c>
      <c r="K823" t="s">
        <v>120</v>
      </c>
      <c r="L823" t="s">
        <v>121</v>
      </c>
      <c r="M823" t="s">
        <v>40</v>
      </c>
      <c r="N823" t="s">
        <v>74</v>
      </c>
      <c r="O823" t="s">
        <v>1568</v>
      </c>
      <c r="P823">
        <v>335.52</v>
      </c>
      <c r="Q823">
        <v>4</v>
      </c>
      <c r="R823">
        <v>0.2</v>
      </c>
      <c r="S823">
        <v>117.43</v>
      </c>
    </row>
    <row r="824" spans="1:19" x14ac:dyDescent="0.3">
      <c r="A824" t="s">
        <v>312</v>
      </c>
      <c r="B824">
        <v>2014</v>
      </c>
      <c r="C824" t="s">
        <v>33</v>
      </c>
      <c r="D824" t="s">
        <v>1569</v>
      </c>
      <c r="E824">
        <v>7</v>
      </c>
      <c r="F824" t="s">
        <v>45</v>
      </c>
      <c r="G824" t="s">
        <v>1570</v>
      </c>
      <c r="H824" t="s">
        <v>22</v>
      </c>
      <c r="I824" t="s">
        <v>23</v>
      </c>
      <c r="J824" t="s">
        <v>709</v>
      </c>
      <c r="K824" t="s">
        <v>534</v>
      </c>
      <c r="L824" t="s">
        <v>121</v>
      </c>
      <c r="M824" t="s">
        <v>59</v>
      </c>
      <c r="N824" t="s">
        <v>133</v>
      </c>
      <c r="O824" t="s">
        <v>1571</v>
      </c>
      <c r="P824">
        <v>239.97</v>
      </c>
      <c r="Q824">
        <v>3</v>
      </c>
      <c r="R824">
        <v>0</v>
      </c>
      <c r="S824">
        <v>71.989999999999995</v>
      </c>
    </row>
    <row r="825" spans="1:19" x14ac:dyDescent="0.3">
      <c r="A825" t="s">
        <v>312</v>
      </c>
      <c r="B825">
        <v>2014</v>
      </c>
      <c r="C825" t="s">
        <v>33</v>
      </c>
      <c r="D825" t="s">
        <v>1569</v>
      </c>
      <c r="E825">
        <v>7</v>
      </c>
      <c r="F825" t="s">
        <v>45</v>
      </c>
      <c r="G825" t="s">
        <v>1570</v>
      </c>
      <c r="H825" t="s">
        <v>22</v>
      </c>
      <c r="I825" t="s">
        <v>23</v>
      </c>
      <c r="J825" t="s">
        <v>709</v>
      </c>
      <c r="K825" t="s">
        <v>534</v>
      </c>
      <c r="L825" t="s">
        <v>121</v>
      </c>
      <c r="M825" t="s">
        <v>40</v>
      </c>
      <c r="N825" t="s">
        <v>41</v>
      </c>
      <c r="O825" t="s">
        <v>1449</v>
      </c>
      <c r="P825">
        <v>9.82</v>
      </c>
      <c r="Q825">
        <v>2</v>
      </c>
      <c r="R825">
        <v>0</v>
      </c>
      <c r="S825">
        <v>4.8099999999999996</v>
      </c>
    </row>
    <row r="826" spans="1:19" x14ac:dyDescent="0.3">
      <c r="A826" s="1">
        <v>40791</v>
      </c>
      <c r="B826">
        <v>2011</v>
      </c>
      <c r="C826" t="s">
        <v>96</v>
      </c>
      <c r="D826" t="s">
        <v>97</v>
      </c>
      <c r="E826">
        <v>6</v>
      </c>
      <c r="F826" t="s">
        <v>45</v>
      </c>
      <c r="G826" t="s">
        <v>1572</v>
      </c>
      <c r="H826" t="s">
        <v>22</v>
      </c>
      <c r="I826" t="s">
        <v>23</v>
      </c>
      <c r="J826" t="s">
        <v>105</v>
      </c>
      <c r="K826" t="s">
        <v>38</v>
      </c>
      <c r="L826" t="s">
        <v>39</v>
      </c>
      <c r="M826" t="s">
        <v>59</v>
      </c>
      <c r="N826" t="s">
        <v>133</v>
      </c>
      <c r="O826" t="s">
        <v>1573</v>
      </c>
      <c r="P826">
        <v>67.8</v>
      </c>
      <c r="Q826">
        <v>4</v>
      </c>
      <c r="R826">
        <v>0</v>
      </c>
      <c r="S826">
        <v>4.07</v>
      </c>
    </row>
    <row r="827" spans="1:19" x14ac:dyDescent="0.3">
      <c r="A827" s="1">
        <v>40791</v>
      </c>
      <c r="B827">
        <v>2011</v>
      </c>
      <c r="C827" t="s">
        <v>96</v>
      </c>
      <c r="D827" t="s">
        <v>97</v>
      </c>
      <c r="E827">
        <v>6</v>
      </c>
      <c r="F827" t="s">
        <v>45</v>
      </c>
      <c r="G827" t="s">
        <v>1572</v>
      </c>
      <c r="H827" t="s">
        <v>22</v>
      </c>
      <c r="I827" t="s">
        <v>23</v>
      </c>
      <c r="J827" t="s">
        <v>105</v>
      </c>
      <c r="K827" t="s">
        <v>38</v>
      </c>
      <c r="L827" t="s">
        <v>39</v>
      </c>
      <c r="M827" t="s">
        <v>59</v>
      </c>
      <c r="N827" t="s">
        <v>133</v>
      </c>
      <c r="O827" t="s">
        <v>574</v>
      </c>
      <c r="P827">
        <v>167.97</v>
      </c>
      <c r="Q827">
        <v>3</v>
      </c>
      <c r="R827">
        <v>0</v>
      </c>
      <c r="S827">
        <v>40.31</v>
      </c>
    </row>
    <row r="828" spans="1:19" x14ac:dyDescent="0.3">
      <c r="A828" t="s">
        <v>941</v>
      </c>
      <c r="B828">
        <v>2014</v>
      </c>
      <c r="C828" t="s">
        <v>103</v>
      </c>
      <c r="D828" t="s">
        <v>1574</v>
      </c>
      <c r="E828">
        <v>7</v>
      </c>
      <c r="F828" t="s">
        <v>45</v>
      </c>
      <c r="G828" t="s">
        <v>1175</v>
      </c>
      <c r="H828" t="s">
        <v>22</v>
      </c>
      <c r="I828" t="s">
        <v>23</v>
      </c>
      <c r="J828" t="s">
        <v>616</v>
      </c>
      <c r="K828" t="s">
        <v>181</v>
      </c>
      <c r="L828" t="s">
        <v>87</v>
      </c>
      <c r="M828" t="s">
        <v>40</v>
      </c>
      <c r="N828" t="s">
        <v>210</v>
      </c>
      <c r="O828" t="s">
        <v>1575</v>
      </c>
      <c r="P828">
        <v>35</v>
      </c>
      <c r="Q828">
        <v>7</v>
      </c>
      <c r="R828">
        <v>0</v>
      </c>
      <c r="S828">
        <v>16.8</v>
      </c>
    </row>
    <row r="829" spans="1:19" x14ac:dyDescent="0.3">
      <c r="A829" t="s">
        <v>941</v>
      </c>
      <c r="B829">
        <v>2014</v>
      </c>
      <c r="C829" t="s">
        <v>103</v>
      </c>
      <c r="D829" t="s">
        <v>1574</v>
      </c>
      <c r="E829">
        <v>7</v>
      </c>
      <c r="F829" t="s">
        <v>45</v>
      </c>
      <c r="G829" t="s">
        <v>1175</v>
      </c>
      <c r="H829" t="s">
        <v>22</v>
      </c>
      <c r="I829" t="s">
        <v>23</v>
      </c>
      <c r="J829" t="s">
        <v>616</v>
      </c>
      <c r="K829" t="s">
        <v>181</v>
      </c>
      <c r="L829" t="s">
        <v>87</v>
      </c>
      <c r="M829" t="s">
        <v>40</v>
      </c>
      <c r="N829" t="s">
        <v>402</v>
      </c>
      <c r="O829" t="s">
        <v>1576</v>
      </c>
      <c r="P829">
        <v>37.24</v>
      </c>
      <c r="Q829">
        <v>4</v>
      </c>
      <c r="R829">
        <v>0</v>
      </c>
      <c r="S829">
        <v>10.8</v>
      </c>
    </row>
    <row r="830" spans="1:19" x14ac:dyDescent="0.3">
      <c r="A830" t="s">
        <v>941</v>
      </c>
      <c r="B830">
        <v>2014</v>
      </c>
      <c r="C830" t="s">
        <v>103</v>
      </c>
      <c r="D830" t="s">
        <v>1574</v>
      </c>
      <c r="E830">
        <v>7</v>
      </c>
      <c r="F830" t="s">
        <v>45</v>
      </c>
      <c r="G830" t="s">
        <v>1175</v>
      </c>
      <c r="H830" t="s">
        <v>22</v>
      </c>
      <c r="I830" t="s">
        <v>23</v>
      </c>
      <c r="J830" t="s">
        <v>616</v>
      </c>
      <c r="K830" t="s">
        <v>181</v>
      </c>
      <c r="L830" t="s">
        <v>87</v>
      </c>
      <c r="M830" t="s">
        <v>40</v>
      </c>
      <c r="N830" t="s">
        <v>141</v>
      </c>
      <c r="O830" t="s">
        <v>1577</v>
      </c>
      <c r="P830">
        <v>15.28</v>
      </c>
      <c r="Q830">
        <v>2</v>
      </c>
      <c r="R830">
        <v>0</v>
      </c>
      <c r="S830">
        <v>7.49</v>
      </c>
    </row>
    <row r="831" spans="1:19" x14ac:dyDescent="0.3">
      <c r="A831" t="s">
        <v>650</v>
      </c>
      <c r="B831">
        <v>2014</v>
      </c>
      <c r="C831" t="s">
        <v>33</v>
      </c>
      <c r="D831" t="s">
        <v>1578</v>
      </c>
      <c r="E831">
        <v>5</v>
      </c>
      <c r="F831" t="s">
        <v>20</v>
      </c>
      <c r="G831" t="s">
        <v>252</v>
      </c>
      <c r="H831" t="s">
        <v>22</v>
      </c>
      <c r="I831" t="s">
        <v>23</v>
      </c>
      <c r="J831" t="s">
        <v>1579</v>
      </c>
      <c r="K831" t="s">
        <v>25</v>
      </c>
      <c r="L831" t="s">
        <v>26</v>
      </c>
      <c r="M831" t="s">
        <v>27</v>
      </c>
      <c r="N831" t="s">
        <v>30</v>
      </c>
      <c r="O831" t="s">
        <v>1580</v>
      </c>
      <c r="P831">
        <v>301.95999999999998</v>
      </c>
      <c r="Q831">
        <v>2</v>
      </c>
      <c r="R831">
        <v>0</v>
      </c>
      <c r="S831">
        <v>90.59</v>
      </c>
    </row>
    <row r="832" spans="1:19" x14ac:dyDescent="0.3">
      <c r="A832" t="s">
        <v>650</v>
      </c>
      <c r="B832">
        <v>2014</v>
      </c>
      <c r="C832" t="s">
        <v>33</v>
      </c>
      <c r="D832" t="s">
        <v>1578</v>
      </c>
      <c r="E832">
        <v>5</v>
      </c>
      <c r="F832" t="s">
        <v>20</v>
      </c>
      <c r="G832" t="s">
        <v>252</v>
      </c>
      <c r="H832" t="s">
        <v>22</v>
      </c>
      <c r="I832" t="s">
        <v>23</v>
      </c>
      <c r="J832" t="s">
        <v>1579</v>
      </c>
      <c r="K832" t="s">
        <v>25</v>
      </c>
      <c r="L832" t="s">
        <v>26</v>
      </c>
      <c r="M832" t="s">
        <v>40</v>
      </c>
      <c r="N832" t="s">
        <v>64</v>
      </c>
      <c r="O832" t="s">
        <v>1581</v>
      </c>
      <c r="P832">
        <v>180.66</v>
      </c>
      <c r="Q832">
        <v>3</v>
      </c>
      <c r="R832">
        <v>0</v>
      </c>
      <c r="S832">
        <v>50.58</v>
      </c>
    </row>
    <row r="833" spans="1:19" x14ac:dyDescent="0.3">
      <c r="A833" t="s">
        <v>650</v>
      </c>
      <c r="B833">
        <v>2014</v>
      </c>
      <c r="C833" t="s">
        <v>33</v>
      </c>
      <c r="D833" t="s">
        <v>1578</v>
      </c>
      <c r="E833">
        <v>5</v>
      </c>
      <c r="F833" t="s">
        <v>20</v>
      </c>
      <c r="G833" t="s">
        <v>252</v>
      </c>
      <c r="H833" t="s">
        <v>22</v>
      </c>
      <c r="I833" t="s">
        <v>23</v>
      </c>
      <c r="J833" t="s">
        <v>1579</v>
      </c>
      <c r="K833" t="s">
        <v>25</v>
      </c>
      <c r="L833" t="s">
        <v>26</v>
      </c>
      <c r="M833" t="s">
        <v>59</v>
      </c>
      <c r="N833" t="s">
        <v>60</v>
      </c>
      <c r="O833" t="s">
        <v>1582</v>
      </c>
      <c r="P833">
        <v>191.98</v>
      </c>
      <c r="Q833">
        <v>2</v>
      </c>
      <c r="R833">
        <v>0</v>
      </c>
      <c r="S833">
        <v>51.83</v>
      </c>
    </row>
    <row r="834" spans="1:19" x14ac:dyDescent="0.3">
      <c r="A834" t="s">
        <v>650</v>
      </c>
      <c r="B834">
        <v>2014</v>
      </c>
      <c r="C834" t="s">
        <v>33</v>
      </c>
      <c r="D834" t="s">
        <v>1578</v>
      </c>
      <c r="E834">
        <v>5</v>
      </c>
      <c r="F834" t="s">
        <v>20</v>
      </c>
      <c r="G834" t="s">
        <v>252</v>
      </c>
      <c r="H834" t="s">
        <v>22</v>
      </c>
      <c r="I834" t="s">
        <v>23</v>
      </c>
      <c r="J834" t="s">
        <v>1579</v>
      </c>
      <c r="K834" t="s">
        <v>25</v>
      </c>
      <c r="L834" t="s">
        <v>26</v>
      </c>
      <c r="M834" t="s">
        <v>59</v>
      </c>
      <c r="N834" t="s">
        <v>60</v>
      </c>
      <c r="O834" t="s">
        <v>1583</v>
      </c>
      <c r="P834">
        <v>65.989999999999995</v>
      </c>
      <c r="Q834">
        <v>1</v>
      </c>
      <c r="R834">
        <v>0</v>
      </c>
      <c r="S834">
        <v>17.16</v>
      </c>
    </row>
    <row r="835" spans="1:19" x14ac:dyDescent="0.3">
      <c r="A835" t="s">
        <v>1584</v>
      </c>
      <c r="B835">
        <v>2013</v>
      </c>
      <c r="C835" t="s">
        <v>116</v>
      </c>
      <c r="D835" t="s">
        <v>1585</v>
      </c>
      <c r="E835">
        <v>4</v>
      </c>
      <c r="F835" t="s">
        <v>45</v>
      </c>
      <c r="G835" t="s">
        <v>478</v>
      </c>
      <c r="H835" t="s">
        <v>36</v>
      </c>
      <c r="I835" t="s">
        <v>23</v>
      </c>
      <c r="J835" t="s">
        <v>601</v>
      </c>
      <c r="K835" t="s">
        <v>48</v>
      </c>
      <c r="L835" t="s">
        <v>26</v>
      </c>
      <c r="M835" t="s">
        <v>40</v>
      </c>
      <c r="N835" t="s">
        <v>57</v>
      </c>
      <c r="O835" t="s">
        <v>1586</v>
      </c>
      <c r="P835">
        <v>35.22</v>
      </c>
      <c r="Q835">
        <v>2</v>
      </c>
      <c r="R835">
        <v>0.2</v>
      </c>
      <c r="S835">
        <v>2.64</v>
      </c>
    </row>
    <row r="836" spans="1:19" x14ac:dyDescent="0.3">
      <c r="A836" t="s">
        <v>1584</v>
      </c>
      <c r="B836">
        <v>2013</v>
      </c>
      <c r="C836" t="s">
        <v>116</v>
      </c>
      <c r="D836" t="s">
        <v>1585</v>
      </c>
      <c r="E836">
        <v>4</v>
      </c>
      <c r="F836" t="s">
        <v>45</v>
      </c>
      <c r="G836" t="s">
        <v>478</v>
      </c>
      <c r="H836" t="s">
        <v>36</v>
      </c>
      <c r="I836" t="s">
        <v>23</v>
      </c>
      <c r="J836" t="s">
        <v>601</v>
      </c>
      <c r="K836" t="s">
        <v>48</v>
      </c>
      <c r="L836" t="s">
        <v>26</v>
      </c>
      <c r="M836" t="s">
        <v>40</v>
      </c>
      <c r="N836" t="s">
        <v>64</v>
      </c>
      <c r="O836" t="s">
        <v>1587</v>
      </c>
      <c r="P836">
        <v>23.7</v>
      </c>
      <c r="Q836">
        <v>2</v>
      </c>
      <c r="R836">
        <v>0.2</v>
      </c>
      <c r="S836">
        <v>6.52</v>
      </c>
    </row>
    <row r="837" spans="1:19" x14ac:dyDescent="0.3">
      <c r="A837" t="s">
        <v>1584</v>
      </c>
      <c r="B837">
        <v>2013</v>
      </c>
      <c r="C837" t="s">
        <v>116</v>
      </c>
      <c r="D837" t="s">
        <v>1585</v>
      </c>
      <c r="E837">
        <v>4</v>
      </c>
      <c r="F837" t="s">
        <v>45</v>
      </c>
      <c r="G837" t="s">
        <v>478</v>
      </c>
      <c r="H837" t="s">
        <v>36</v>
      </c>
      <c r="I837" t="s">
        <v>23</v>
      </c>
      <c r="J837" t="s">
        <v>601</v>
      </c>
      <c r="K837" t="s">
        <v>48</v>
      </c>
      <c r="L837" t="s">
        <v>26</v>
      </c>
      <c r="M837" t="s">
        <v>59</v>
      </c>
      <c r="N837" t="s">
        <v>465</v>
      </c>
      <c r="O837" t="s">
        <v>1588</v>
      </c>
      <c r="P837">
        <v>265.48</v>
      </c>
      <c r="Q837">
        <v>1</v>
      </c>
      <c r="R837">
        <v>0.5</v>
      </c>
      <c r="S837">
        <v>-111.5</v>
      </c>
    </row>
    <row r="838" spans="1:19" x14ac:dyDescent="0.3">
      <c r="A838" s="1">
        <v>40764</v>
      </c>
      <c r="B838">
        <v>2011</v>
      </c>
      <c r="C838" t="s">
        <v>124</v>
      </c>
      <c r="D838" t="s">
        <v>596</v>
      </c>
      <c r="E838">
        <v>5</v>
      </c>
      <c r="F838" t="s">
        <v>20</v>
      </c>
      <c r="G838" t="s">
        <v>1477</v>
      </c>
      <c r="H838" t="s">
        <v>22</v>
      </c>
      <c r="I838" t="s">
        <v>23</v>
      </c>
      <c r="J838" t="s">
        <v>1361</v>
      </c>
      <c r="K838" t="s">
        <v>86</v>
      </c>
      <c r="L838" t="s">
        <v>87</v>
      </c>
      <c r="M838" t="s">
        <v>40</v>
      </c>
      <c r="N838" t="s">
        <v>62</v>
      </c>
      <c r="O838" t="s">
        <v>1589</v>
      </c>
      <c r="P838">
        <v>51.18</v>
      </c>
      <c r="Q838">
        <v>4</v>
      </c>
      <c r="R838">
        <v>0.8</v>
      </c>
      <c r="S838">
        <v>-79.34</v>
      </c>
    </row>
    <row r="839" spans="1:19" x14ac:dyDescent="0.3">
      <c r="A839" s="1">
        <v>41770</v>
      </c>
      <c r="B839">
        <v>2014</v>
      </c>
      <c r="C839" t="s">
        <v>19</v>
      </c>
      <c r="D839" s="1">
        <v>41984</v>
      </c>
      <c r="E839">
        <v>7</v>
      </c>
      <c r="F839" t="s">
        <v>45</v>
      </c>
      <c r="G839" t="s">
        <v>1590</v>
      </c>
      <c r="H839" t="s">
        <v>84</v>
      </c>
      <c r="I839" t="s">
        <v>23</v>
      </c>
      <c r="J839" t="s">
        <v>283</v>
      </c>
      <c r="K839" t="s">
        <v>254</v>
      </c>
      <c r="L839" t="s">
        <v>26</v>
      </c>
      <c r="M839" t="s">
        <v>40</v>
      </c>
      <c r="N839" t="s">
        <v>74</v>
      </c>
      <c r="O839" t="s">
        <v>1591</v>
      </c>
      <c r="P839">
        <v>9.66</v>
      </c>
      <c r="Q839">
        <v>2</v>
      </c>
      <c r="R839">
        <v>0.2</v>
      </c>
      <c r="S839">
        <v>3.26</v>
      </c>
    </row>
    <row r="840" spans="1:19" x14ac:dyDescent="0.3">
      <c r="A840" s="1">
        <v>41489</v>
      </c>
      <c r="B840">
        <v>2013</v>
      </c>
      <c r="C840" t="s">
        <v>177</v>
      </c>
      <c r="D840" t="s">
        <v>1538</v>
      </c>
      <c r="E840">
        <v>5</v>
      </c>
      <c r="F840" t="s">
        <v>45</v>
      </c>
      <c r="G840" t="s">
        <v>996</v>
      </c>
      <c r="H840" t="s">
        <v>36</v>
      </c>
      <c r="I840" t="s">
        <v>23</v>
      </c>
      <c r="J840" t="s">
        <v>85</v>
      </c>
      <c r="K840" t="s">
        <v>86</v>
      </c>
      <c r="L840" t="s">
        <v>87</v>
      </c>
      <c r="M840" t="s">
        <v>59</v>
      </c>
      <c r="N840" t="s">
        <v>60</v>
      </c>
      <c r="O840" t="s">
        <v>993</v>
      </c>
      <c r="P840">
        <v>21.07</v>
      </c>
      <c r="Q840">
        <v>3</v>
      </c>
      <c r="R840">
        <v>0.2</v>
      </c>
      <c r="S840">
        <v>1.58</v>
      </c>
    </row>
    <row r="841" spans="1:19" x14ac:dyDescent="0.3">
      <c r="A841" t="s">
        <v>1592</v>
      </c>
      <c r="B841">
        <v>2012</v>
      </c>
      <c r="C841" t="s">
        <v>19</v>
      </c>
      <c r="D841" t="s">
        <v>1593</v>
      </c>
      <c r="E841">
        <v>5</v>
      </c>
      <c r="F841" t="s">
        <v>45</v>
      </c>
      <c r="G841" t="s">
        <v>1594</v>
      </c>
      <c r="H841" t="s">
        <v>36</v>
      </c>
      <c r="I841" t="s">
        <v>23</v>
      </c>
      <c r="J841" t="s">
        <v>208</v>
      </c>
      <c r="K841" t="s">
        <v>209</v>
      </c>
      <c r="L841" t="s">
        <v>121</v>
      </c>
      <c r="M841" t="s">
        <v>40</v>
      </c>
      <c r="N841" t="s">
        <v>57</v>
      </c>
      <c r="O841" t="s">
        <v>1495</v>
      </c>
      <c r="P841">
        <v>60.45</v>
      </c>
      <c r="Q841">
        <v>3</v>
      </c>
      <c r="R841">
        <v>0</v>
      </c>
      <c r="S841">
        <v>16.32</v>
      </c>
    </row>
    <row r="842" spans="1:19" x14ac:dyDescent="0.3">
      <c r="A842" t="s">
        <v>1592</v>
      </c>
      <c r="B842">
        <v>2012</v>
      </c>
      <c r="C842" t="s">
        <v>19</v>
      </c>
      <c r="D842" t="s">
        <v>1593</v>
      </c>
      <c r="E842">
        <v>5</v>
      </c>
      <c r="F842" t="s">
        <v>45</v>
      </c>
      <c r="G842" t="s">
        <v>1594</v>
      </c>
      <c r="H842" t="s">
        <v>36</v>
      </c>
      <c r="I842" t="s">
        <v>23</v>
      </c>
      <c r="J842" t="s">
        <v>208</v>
      </c>
      <c r="K842" t="s">
        <v>209</v>
      </c>
      <c r="L842" t="s">
        <v>121</v>
      </c>
      <c r="M842" t="s">
        <v>40</v>
      </c>
      <c r="N842" t="s">
        <v>57</v>
      </c>
      <c r="O842" t="s">
        <v>1595</v>
      </c>
      <c r="P842">
        <v>11.52</v>
      </c>
      <c r="Q842">
        <v>4</v>
      </c>
      <c r="R842">
        <v>0</v>
      </c>
      <c r="S842">
        <v>3.34</v>
      </c>
    </row>
    <row r="843" spans="1:19" x14ac:dyDescent="0.3">
      <c r="A843" t="s">
        <v>1592</v>
      </c>
      <c r="B843">
        <v>2012</v>
      </c>
      <c r="C843" t="s">
        <v>19</v>
      </c>
      <c r="D843" t="s">
        <v>1593</v>
      </c>
      <c r="E843">
        <v>5</v>
      </c>
      <c r="F843" t="s">
        <v>45</v>
      </c>
      <c r="G843" t="s">
        <v>1594</v>
      </c>
      <c r="H843" t="s">
        <v>36</v>
      </c>
      <c r="I843" t="s">
        <v>23</v>
      </c>
      <c r="J843" t="s">
        <v>208</v>
      </c>
      <c r="K843" t="s">
        <v>209</v>
      </c>
      <c r="L843" t="s">
        <v>121</v>
      </c>
      <c r="M843" t="s">
        <v>27</v>
      </c>
      <c r="N843" t="s">
        <v>28</v>
      </c>
      <c r="O843" t="s">
        <v>1596</v>
      </c>
      <c r="P843">
        <v>186.05</v>
      </c>
      <c r="Q843">
        <v>4</v>
      </c>
      <c r="R843">
        <v>0.2</v>
      </c>
      <c r="S843">
        <v>9.3000000000000007</v>
      </c>
    </row>
    <row r="844" spans="1:19" x14ac:dyDescent="0.3">
      <c r="A844" s="1">
        <v>41497</v>
      </c>
      <c r="B844">
        <v>2013</v>
      </c>
      <c r="C844" t="s">
        <v>19</v>
      </c>
      <c r="D844" s="1">
        <v>41558</v>
      </c>
      <c r="E844">
        <v>2</v>
      </c>
      <c r="F844" t="s">
        <v>151</v>
      </c>
      <c r="G844" t="s">
        <v>1597</v>
      </c>
      <c r="H844" t="s">
        <v>36</v>
      </c>
      <c r="I844" t="s">
        <v>23</v>
      </c>
      <c r="J844" t="s">
        <v>37</v>
      </c>
      <c r="K844" t="s">
        <v>38</v>
      </c>
      <c r="L844" t="s">
        <v>39</v>
      </c>
      <c r="M844" t="s">
        <v>40</v>
      </c>
      <c r="N844" t="s">
        <v>62</v>
      </c>
      <c r="O844" t="s">
        <v>1598</v>
      </c>
      <c r="P844">
        <v>37.44</v>
      </c>
      <c r="Q844">
        <v>4</v>
      </c>
      <c r="R844">
        <v>0.2</v>
      </c>
      <c r="S844">
        <v>11.7</v>
      </c>
    </row>
    <row r="845" spans="1:19" x14ac:dyDescent="0.3">
      <c r="A845" s="1">
        <v>41497</v>
      </c>
      <c r="B845">
        <v>2013</v>
      </c>
      <c r="C845" t="s">
        <v>19</v>
      </c>
      <c r="D845" s="1">
        <v>41558</v>
      </c>
      <c r="E845">
        <v>2</v>
      </c>
      <c r="F845" t="s">
        <v>151</v>
      </c>
      <c r="G845" t="s">
        <v>1597</v>
      </c>
      <c r="H845" t="s">
        <v>36</v>
      </c>
      <c r="I845" t="s">
        <v>23</v>
      </c>
      <c r="J845" t="s">
        <v>37</v>
      </c>
      <c r="K845" t="s">
        <v>38</v>
      </c>
      <c r="L845" t="s">
        <v>39</v>
      </c>
      <c r="M845" t="s">
        <v>40</v>
      </c>
      <c r="N845" t="s">
        <v>62</v>
      </c>
      <c r="O845" t="s">
        <v>1599</v>
      </c>
      <c r="P845">
        <v>26.98</v>
      </c>
      <c r="Q845">
        <v>4</v>
      </c>
      <c r="R845">
        <v>0.2</v>
      </c>
      <c r="S845">
        <v>8.77</v>
      </c>
    </row>
    <row r="846" spans="1:19" x14ac:dyDescent="0.3">
      <c r="A846" s="1">
        <v>41497</v>
      </c>
      <c r="B846">
        <v>2013</v>
      </c>
      <c r="C846" t="s">
        <v>19</v>
      </c>
      <c r="D846" s="1">
        <v>41558</v>
      </c>
      <c r="E846">
        <v>2</v>
      </c>
      <c r="F846" t="s">
        <v>151</v>
      </c>
      <c r="G846" t="s">
        <v>1597</v>
      </c>
      <c r="H846" t="s">
        <v>36</v>
      </c>
      <c r="I846" t="s">
        <v>23</v>
      </c>
      <c r="J846" t="s">
        <v>37</v>
      </c>
      <c r="K846" t="s">
        <v>38</v>
      </c>
      <c r="L846" t="s">
        <v>39</v>
      </c>
      <c r="M846" t="s">
        <v>40</v>
      </c>
      <c r="N846" t="s">
        <v>402</v>
      </c>
      <c r="O846" t="s">
        <v>1600</v>
      </c>
      <c r="P846">
        <v>11.36</v>
      </c>
      <c r="Q846">
        <v>2</v>
      </c>
      <c r="R846">
        <v>0</v>
      </c>
      <c r="S846">
        <v>3.29</v>
      </c>
    </row>
    <row r="847" spans="1:19" x14ac:dyDescent="0.3">
      <c r="A847" s="1">
        <v>41497</v>
      </c>
      <c r="B847">
        <v>2013</v>
      </c>
      <c r="C847" t="s">
        <v>19</v>
      </c>
      <c r="D847" s="1">
        <v>41558</v>
      </c>
      <c r="E847">
        <v>2</v>
      </c>
      <c r="F847" t="s">
        <v>151</v>
      </c>
      <c r="G847" t="s">
        <v>1597</v>
      </c>
      <c r="H847" t="s">
        <v>36</v>
      </c>
      <c r="I847" t="s">
        <v>23</v>
      </c>
      <c r="J847" t="s">
        <v>37</v>
      </c>
      <c r="K847" t="s">
        <v>38</v>
      </c>
      <c r="L847" t="s">
        <v>39</v>
      </c>
      <c r="M847" t="s">
        <v>40</v>
      </c>
      <c r="N847" t="s">
        <v>41</v>
      </c>
      <c r="O847" t="s">
        <v>1601</v>
      </c>
      <c r="P847">
        <v>14.62</v>
      </c>
      <c r="Q847">
        <v>2</v>
      </c>
      <c r="R847">
        <v>0</v>
      </c>
      <c r="S847">
        <v>6.87</v>
      </c>
    </row>
    <row r="848" spans="1:19" x14ac:dyDescent="0.3">
      <c r="A848" t="s">
        <v>1602</v>
      </c>
      <c r="B848">
        <v>2012</v>
      </c>
      <c r="C848" t="s">
        <v>43</v>
      </c>
      <c r="D848" t="s">
        <v>1603</v>
      </c>
      <c r="E848">
        <v>4</v>
      </c>
      <c r="F848" t="s">
        <v>45</v>
      </c>
      <c r="G848" t="s">
        <v>1604</v>
      </c>
      <c r="H848" t="s">
        <v>22</v>
      </c>
      <c r="I848" t="s">
        <v>23</v>
      </c>
      <c r="J848" t="s">
        <v>935</v>
      </c>
      <c r="K848" t="s">
        <v>25</v>
      </c>
      <c r="L848" t="s">
        <v>26</v>
      </c>
      <c r="M848" t="s">
        <v>59</v>
      </c>
      <c r="N848" t="s">
        <v>60</v>
      </c>
      <c r="O848" t="s">
        <v>520</v>
      </c>
      <c r="P848">
        <v>83.72</v>
      </c>
      <c r="Q848">
        <v>7</v>
      </c>
      <c r="R848">
        <v>0</v>
      </c>
      <c r="S848">
        <v>23.44</v>
      </c>
    </row>
    <row r="849" spans="1:19" x14ac:dyDescent="0.3">
      <c r="A849" t="s">
        <v>1602</v>
      </c>
      <c r="B849">
        <v>2012</v>
      </c>
      <c r="C849" t="s">
        <v>43</v>
      </c>
      <c r="D849" t="s">
        <v>1603</v>
      </c>
      <c r="E849">
        <v>4</v>
      </c>
      <c r="F849" t="s">
        <v>45</v>
      </c>
      <c r="G849" t="s">
        <v>1604</v>
      </c>
      <c r="H849" t="s">
        <v>22</v>
      </c>
      <c r="I849" t="s">
        <v>23</v>
      </c>
      <c r="J849" t="s">
        <v>935</v>
      </c>
      <c r="K849" t="s">
        <v>25</v>
      </c>
      <c r="L849" t="s">
        <v>26</v>
      </c>
      <c r="M849" t="s">
        <v>27</v>
      </c>
      <c r="N849" t="s">
        <v>30</v>
      </c>
      <c r="O849" t="s">
        <v>705</v>
      </c>
      <c r="P849">
        <v>287.94</v>
      </c>
      <c r="Q849">
        <v>3</v>
      </c>
      <c r="R849">
        <v>0</v>
      </c>
      <c r="S849">
        <v>77.739999999999995</v>
      </c>
    </row>
    <row r="850" spans="1:19" x14ac:dyDescent="0.3">
      <c r="A850" s="1">
        <v>41671</v>
      </c>
      <c r="B850">
        <v>2014</v>
      </c>
      <c r="C850" t="s">
        <v>129</v>
      </c>
      <c r="D850" s="1">
        <v>41821</v>
      </c>
      <c r="E850">
        <v>5</v>
      </c>
      <c r="F850" t="s">
        <v>45</v>
      </c>
      <c r="G850" t="s">
        <v>1605</v>
      </c>
      <c r="H850" t="s">
        <v>22</v>
      </c>
      <c r="I850" t="s">
        <v>23</v>
      </c>
      <c r="J850" t="s">
        <v>1606</v>
      </c>
      <c r="K850" t="s">
        <v>357</v>
      </c>
      <c r="L850" t="s">
        <v>121</v>
      </c>
      <c r="M850" t="s">
        <v>27</v>
      </c>
      <c r="N850" t="s">
        <v>55</v>
      </c>
      <c r="O850" t="s">
        <v>1607</v>
      </c>
      <c r="P850">
        <v>48.9</v>
      </c>
      <c r="Q850">
        <v>4</v>
      </c>
      <c r="R850">
        <v>0.2</v>
      </c>
      <c r="S850">
        <v>8.56</v>
      </c>
    </row>
    <row r="851" spans="1:19" x14ac:dyDescent="0.3">
      <c r="A851" s="1">
        <v>40757</v>
      </c>
      <c r="B851">
        <v>2011</v>
      </c>
      <c r="C851" t="s">
        <v>389</v>
      </c>
      <c r="D851" t="s">
        <v>1000</v>
      </c>
      <c r="E851">
        <v>5</v>
      </c>
      <c r="F851" t="s">
        <v>45</v>
      </c>
      <c r="G851" t="s">
        <v>1608</v>
      </c>
      <c r="H851" t="s">
        <v>36</v>
      </c>
      <c r="I851" t="s">
        <v>23</v>
      </c>
      <c r="J851" t="s">
        <v>1609</v>
      </c>
      <c r="K851" t="s">
        <v>534</v>
      </c>
      <c r="L851" t="s">
        <v>121</v>
      </c>
      <c r="M851" t="s">
        <v>59</v>
      </c>
      <c r="N851" t="s">
        <v>133</v>
      </c>
      <c r="O851" t="s">
        <v>1610</v>
      </c>
      <c r="P851">
        <v>115.36</v>
      </c>
      <c r="Q851">
        <v>7</v>
      </c>
      <c r="R851">
        <v>0</v>
      </c>
      <c r="S851">
        <v>49.6</v>
      </c>
    </row>
    <row r="852" spans="1:19" x14ac:dyDescent="0.3">
      <c r="A852" t="s">
        <v>190</v>
      </c>
      <c r="B852">
        <v>2013</v>
      </c>
      <c r="C852" t="s">
        <v>33</v>
      </c>
      <c r="D852" t="s">
        <v>191</v>
      </c>
      <c r="E852">
        <v>5</v>
      </c>
      <c r="F852" t="s">
        <v>20</v>
      </c>
      <c r="G852" t="s">
        <v>1611</v>
      </c>
      <c r="H852" t="s">
        <v>36</v>
      </c>
      <c r="I852" t="s">
        <v>23</v>
      </c>
      <c r="J852" t="s">
        <v>1612</v>
      </c>
      <c r="K852" t="s">
        <v>38</v>
      </c>
      <c r="L852" t="s">
        <v>39</v>
      </c>
      <c r="M852" t="s">
        <v>40</v>
      </c>
      <c r="N852" t="s">
        <v>57</v>
      </c>
      <c r="O852" t="s">
        <v>1613</v>
      </c>
      <c r="P852">
        <v>5.16</v>
      </c>
      <c r="Q852">
        <v>2</v>
      </c>
      <c r="R852">
        <v>0</v>
      </c>
      <c r="S852">
        <v>1.34</v>
      </c>
    </row>
    <row r="853" spans="1:19" x14ac:dyDescent="0.3">
      <c r="A853" t="s">
        <v>190</v>
      </c>
      <c r="B853">
        <v>2013</v>
      </c>
      <c r="C853" t="s">
        <v>33</v>
      </c>
      <c r="D853" t="s">
        <v>191</v>
      </c>
      <c r="E853">
        <v>5</v>
      </c>
      <c r="F853" t="s">
        <v>20</v>
      </c>
      <c r="G853" t="s">
        <v>1611</v>
      </c>
      <c r="H853" t="s">
        <v>36</v>
      </c>
      <c r="I853" t="s">
        <v>23</v>
      </c>
      <c r="J853" t="s">
        <v>1612</v>
      </c>
      <c r="K853" t="s">
        <v>38</v>
      </c>
      <c r="L853" t="s">
        <v>39</v>
      </c>
      <c r="M853" t="s">
        <v>40</v>
      </c>
      <c r="N853" t="s">
        <v>74</v>
      </c>
      <c r="O853" t="s">
        <v>1614</v>
      </c>
      <c r="P853">
        <v>38.880000000000003</v>
      </c>
      <c r="Q853">
        <v>6</v>
      </c>
      <c r="R853">
        <v>0</v>
      </c>
      <c r="S853">
        <v>18.66</v>
      </c>
    </row>
    <row r="854" spans="1:19" x14ac:dyDescent="0.3">
      <c r="A854" t="s">
        <v>1615</v>
      </c>
      <c r="B854">
        <v>2013</v>
      </c>
      <c r="C854" t="s">
        <v>96</v>
      </c>
      <c r="D854" s="1">
        <v>41400</v>
      </c>
      <c r="E854">
        <v>7</v>
      </c>
      <c r="F854" t="s">
        <v>45</v>
      </c>
      <c r="G854" t="s">
        <v>593</v>
      </c>
      <c r="H854" t="s">
        <v>22</v>
      </c>
      <c r="I854" t="s">
        <v>23</v>
      </c>
      <c r="J854" t="s">
        <v>249</v>
      </c>
      <c r="K854" t="s">
        <v>944</v>
      </c>
      <c r="L854" t="s">
        <v>26</v>
      </c>
      <c r="M854" t="s">
        <v>40</v>
      </c>
      <c r="N854" t="s">
        <v>57</v>
      </c>
      <c r="O854" t="s">
        <v>748</v>
      </c>
      <c r="P854">
        <v>185.88</v>
      </c>
      <c r="Q854">
        <v>6</v>
      </c>
      <c r="R854">
        <v>0</v>
      </c>
      <c r="S854">
        <v>50.19</v>
      </c>
    </row>
    <row r="855" spans="1:19" x14ac:dyDescent="0.3">
      <c r="A855" t="s">
        <v>1616</v>
      </c>
      <c r="B855">
        <v>2013</v>
      </c>
      <c r="C855" t="s">
        <v>389</v>
      </c>
      <c r="D855" t="s">
        <v>1617</v>
      </c>
      <c r="E855">
        <v>5</v>
      </c>
      <c r="F855" t="s">
        <v>45</v>
      </c>
      <c r="G855" t="s">
        <v>1175</v>
      </c>
      <c r="H855" t="s">
        <v>22</v>
      </c>
      <c r="I855" t="s">
        <v>23</v>
      </c>
      <c r="J855" t="s">
        <v>208</v>
      </c>
      <c r="K855" t="s">
        <v>209</v>
      </c>
      <c r="L855" t="s">
        <v>121</v>
      </c>
      <c r="M855" t="s">
        <v>27</v>
      </c>
      <c r="N855" t="s">
        <v>55</v>
      </c>
      <c r="O855" t="s">
        <v>1534</v>
      </c>
      <c r="P855">
        <v>44.46</v>
      </c>
      <c r="Q855">
        <v>2</v>
      </c>
      <c r="R855">
        <v>0</v>
      </c>
      <c r="S855">
        <v>14.67</v>
      </c>
    </row>
    <row r="856" spans="1:19" x14ac:dyDescent="0.3">
      <c r="A856" t="s">
        <v>1616</v>
      </c>
      <c r="B856">
        <v>2013</v>
      </c>
      <c r="C856" t="s">
        <v>389</v>
      </c>
      <c r="D856" t="s">
        <v>1617</v>
      </c>
      <c r="E856">
        <v>5</v>
      </c>
      <c r="F856" t="s">
        <v>45</v>
      </c>
      <c r="G856" t="s">
        <v>1175</v>
      </c>
      <c r="H856" t="s">
        <v>22</v>
      </c>
      <c r="I856" t="s">
        <v>23</v>
      </c>
      <c r="J856" t="s">
        <v>208</v>
      </c>
      <c r="K856" t="s">
        <v>209</v>
      </c>
      <c r="L856" t="s">
        <v>121</v>
      </c>
      <c r="M856" t="s">
        <v>40</v>
      </c>
      <c r="N856" t="s">
        <v>51</v>
      </c>
      <c r="O856" t="s">
        <v>1118</v>
      </c>
      <c r="P856">
        <v>242.94</v>
      </c>
      <c r="Q856">
        <v>3</v>
      </c>
      <c r="R856">
        <v>0</v>
      </c>
      <c r="S856">
        <v>9.7200000000000006</v>
      </c>
    </row>
    <row r="857" spans="1:19" x14ac:dyDescent="0.3">
      <c r="A857" s="1">
        <v>40610</v>
      </c>
      <c r="B857">
        <v>2011</v>
      </c>
      <c r="C857" t="s">
        <v>103</v>
      </c>
      <c r="D857" s="1">
        <v>40763</v>
      </c>
      <c r="E857">
        <v>5</v>
      </c>
      <c r="F857" t="s">
        <v>45</v>
      </c>
      <c r="G857" t="s">
        <v>1618</v>
      </c>
      <c r="H857" t="s">
        <v>22</v>
      </c>
      <c r="I857" t="s">
        <v>23</v>
      </c>
      <c r="J857" t="s">
        <v>208</v>
      </c>
      <c r="K857" t="s">
        <v>209</v>
      </c>
      <c r="L857" t="s">
        <v>121</v>
      </c>
      <c r="M857" t="s">
        <v>40</v>
      </c>
      <c r="N857" t="s">
        <v>74</v>
      </c>
      <c r="O857" t="s">
        <v>1619</v>
      </c>
      <c r="P857">
        <v>39.96</v>
      </c>
      <c r="Q857">
        <v>2</v>
      </c>
      <c r="R857">
        <v>0</v>
      </c>
      <c r="S857">
        <v>18.78</v>
      </c>
    </row>
    <row r="858" spans="1:19" x14ac:dyDescent="0.3">
      <c r="A858" s="1">
        <v>40610</v>
      </c>
      <c r="B858">
        <v>2011</v>
      </c>
      <c r="C858" t="s">
        <v>103</v>
      </c>
      <c r="D858" s="1">
        <v>40763</v>
      </c>
      <c r="E858">
        <v>5</v>
      </c>
      <c r="F858" t="s">
        <v>45</v>
      </c>
      <c r="G858" t="s">
        <v>1618</v>
      </c>
      <c r="H858" t="s">
        <v>22</v>
      </c>
      <c r="I858" t="s">
        <v>23</v>
      </c>
      <c r="J858" t="s">
        <v>208</v>
      </c>
      <c r="K858" t="s">
        <v>209</v>
      </c>
      <c r="L858" t="s">
        <v>121</v>
      </c>
      <c r="M858" t="s">
        <v>40</v>
      </c>
      <c r="N858" t="s">
        <v>402</v>
      </c>
      <c r="O858" t="s">
        <v>1620</v>
      </c>
      <c r="P858">
        <v>102.3</v>
      </c>
      <c r="Q858">
        <v>10</v>
      </c>
      <c r="R858">
        <v>0</v>
      </c>
      <c r="S858">
        <v>26.6</v>
      </c>
    </row>
    <row r="859" spans="1:19" x14ac:dyDescent="0.3">
      <c r="A859" s="1">
        <v>40610</v>
      </c>
      <c r="B859">
        <v>2011</v>
      </c>
      <c r="C859" t="s">
        <v>103</v>
      </c>
      <c r="D859" s="1">
        <v>40763</v>
      </c>
      <c r="E859">
        <v>5</v>
      </c>
      <c r="F859" t="s">
        <v>45</v>
      </c>
      <c r="G859" t="s">
        <v>1618</v>
      </c>
      <c r="H859" t="s">
        <v>22</v>
      </c>
      <c r="I859" t="s">
        <v>23</v>
      </c>
      <c r="J859" t="s">
        <v>208</v>
      </c>
      <c r="K859" t="s">
        <v>209</v>
      </c>
      <c r="L859" t="s">
        <v>121</v>
      </c>
      <c r="M859" t="s">
        <v>40</v>
      </c>
      <c r="N859" t="s">
        <v>51</v>
      </c>
      <c r="O859" t="s">
        <v>150</v>
      </c>
      <c r="P859">
        <v>21.36</v>
      </c>
      <c r="Q859">
        <v>2</v>
      </c>
      <c r="R859">
        <v>0</v>
      </c>
      <c r="S859">
        <v>5.77</v>
      </c>
    </row>
    <row r="860" spans="1:19" x14ac:dyDescent="0.3">
      <c r="A860" s="1">
        <v>41947</v>
      </c>
      <c r="B860">
        <v>2014</v>
      </c>
      <c r="C860" t="s">
        <v>69</v>
      </c>
      <c r="D860" t="s">
        <v>68</v>
      </c>
      <c r="E860">
        <v>5</v>
      </c>
      <c r="F860" t="s">
        <v>45</v>
      </c>
      <c r="G860" t="s">
        <v>1621</v>
      </c>
      <c r="H860" t="s">
        <v>84</v>
      </c>
      <c r="I860" t="s">
        <v>23</v>
      </c>
      <c r="J860" t="s">
        <v>1622</v>
      </c>
      <c r="K860" t="s">
        <v>534</v>
      </c>
      <c r="L860" t="s">
        <v>121</v>
      </c>
      <c r="M860" t="s">
        <v>40</v>
      </c>
      <c r="N860" t="s">
        <v>74</v>
      </c>
      <c r="O860" t="s">
        <v>625</v>
      </c>
      <c r="P860">
        <v>7.61</v>
      </c>
      <c r="Q860">
        <v>1</v>
      </c>
      <c r="R860">
        <v>0</v>
      </c>
      <c r="S860">
        <v>3.58</v>
      </c>
    </row>
    <row r="861" spans="1:19" x14ac:dyDescent="0.3">
      <c r="A861" s="1">
        <v>41947</v>
      </c>
      <c r="B861">
        <v>2014</v>
      </c>
      <c r="C861" t="s">
        <v>69</v>
      </c>
      <c r="D861" t="s">
        <v>68</v>
      </c>
      <c r="E861">
        <v>5</v>
      </c>
      <c r="F861" t="s">
        <v>45</v>
      </c>
      <c r="G861" t="s">
        <v>1621</v>
      </c>
      <c r="H861" t="s">
        <v>84</v>
      </c>
      <c r="I861" t="s">
        <v>23</v>
      </c>
      <c r="J861" t="s">
        <v>1622</v>
      </c>
      <c r="K861" t="s">
        <v>534</v>
      </c>
      <c r="L861" t="s">
        <v>121</v>
      </c>
      <c r="M861" t="s">
        <v>40</v>
      </c>
      <c r="N861" t="s">
        <v>210</v>
      </c>
      <c r="O861" t="s">
        <v>756</v>
      </c>
      <c r="P861">
        <v>7.16</v>
      </c>
      <c r="Q861">
        <v>2</v>
      </c>
      <c r="R861">
        <v>0</v>
      </c>
      <c r="S861">
        <v>3.58</v>
      </c>
    </row>
    <row r="862" spans="1:19" x14ac:dyDescent="0.3">
      <c r="A862" s="1">
        <v>40792</v>
      </c>
      <c r="B862">
        <v>2011</v>
      </c>
      <c r="C862" t="s">
        <v>33</v>
      </c>
      <c r="D862" t="s">
        <v>1623</v>
      </c>
      <c r="E862">
        <v>7</v>
      </c>
      <c r="F862" t="s">
        <v>45</v>
      </c>
      <c r="G862" t="s">
        <v>1624</v>
      </c>
      <c r="H862" t="s">
        <v>22</v>
      </c>
      <c r="I862" t="s">
        <v>23</v>
      </c>
      <c r="J862" t="s">
        <v>105</v>
      </c>
      <c r="K862" t="s">
        <v>38</v>
      </c>
      <c r="L862" t="s">
        <v>39</v>
      </c>
      <c r="M862" t="s">
        <v>40</v>
      </c>
      <c r="N862" t="s">
        <v>402</v>
      </c>
      <c r="O862" t="s">
        <v>150</v>
      </c>
      <c r="P862">
        <v>7.36</v>
      </c>
      <c r="Q862">
        <v>2</v>
      </c>
      <c r="R862">
        <v>0</v>
      </c>
      <c r="S862">
        <v>0.15</v>
      </c>
    </row>
    <row r="863" spans="1:19" x14ac:dyDescent="0.3">
      <c r="A863" s="1">
        <v>40792</v>
      </c>
      <c r="B863">
        <v>2011</v>
      </c>
      <c r="C863" t="s">
        <v>33</v>
      </c>
      <c r="D863" t="s">
        <v>1623</v>
      </c>
      <c r="E863">
        <v>7</v>
      </c>
      <c r="F863" t="s">
        <v>45</v>
      </c>
      <c r="G863" t="s">
        <v>1624</v>
      </c>
      <c r="H863" t="s">
        <v>22</v>
      </c>
      <c r="I863" t="s">
        <v>23</v>
      </c>
      <c r="J863" t="s">
        <v>105</v>
      </c>
      <c r="K863" t="s">
        <v>38</v>
      </c>
      <c r="L863" t="s">
        <v>39</v>
      </c>
      <c r="M863" t="s">
        <v>40</v>
      </c>
      <c r="N863" t="s">
        <v>57</v>
      </c>
      <c r="O863" t="s">
        <v>1625</v>
      </c>
      <c r="P863">
        <v>23.1</v>
      </c>
      <c r="Q863">
        <v>2</v>
      </c>
      <c r="R863">
        <v>0</v>
      </c>
      <c r="S863">
        <v>10.63</v>
      </c>
    </row>
    <row r="864" spans="1:19" x14ac:dyDescent="0.3">
      <c r="A864" s="1">
        <v>41395</v>
      </c>
      <c r="B864">
        <v>2013</v>
      </c>
      <c r="C864" t="s">
        <v>129</v>
      </c>
      <c r="D864" s="1">
        <v>41456</v>
      </c>
      <c r="E864">
        <v>2</v>
      </c>
      <c r="F864" t="s">
        <v>20</v>
      </c>
      <c r="G864" t="s">
        <v>1486</v>
      </c>
      <c r="H864" t="s">
        <v>36</v>
      </c>
      <c r="I864" t="s">
        <v>23</v>
      </c>
      <c r="J864" t="s">
        <v>965</v>
      </c>
      <c r="K864" t="s">
        <v>48</v>
      </c>
      <c r="L864" t="s">
        <v>26</v>
      </c>
      <c r="M864" t="s">
        <v>59</v>
      </c>
      <c r="N864" t="s">
        <v>133</v>
      </c>
      <c r="O864" t="s">
        <v>1626</v>
      </c>
      <c r="P864">
        <v>191.47</v>
      </c>
      <c r="Q864">
        <v>6</v>
      </c>
      <c r="R864">
        <v>0.2</v>
      </c>
      <c r="S864">
        <v>40.69</v>
      </c>
    </row>
    <row r="865" spans="1:19" x14ac:dyDescent="0.3">
      <c r="A865" s="1">
        <v>41395</v>
      </c>
      <c r="B865">
        <v>2013</v>
      </c>
      <c r="C865" t="s">
        <v>129</v>
      </c>
      <c r="D865" s="1">
        <v>41456</v>
      </c>
      <c r="E865">
        <v>2</v>
      </c>
      <c r="F865" t="s">
        <v>20</v>
      </c>
      <c r="G865" t="s">
        <v>1486</v>
      </c>
      <c r="H865" t="s">
        <v>36</v>
      </c>
      <c r="I865" t="s">
        <v>23</v>
      </c>
      <c r="J865" t="s">
        <v>965</v>
      </c>
      <c r="K865" t="s">
        <v>48</v>
      </c>
      <c r="L865" t="s">
        <v>26</v>
      </c>
      <c r="M865" t="s">
        <v>40</v>
      </c>
      <c r="N865" t="s">
        <v>57</v>
      </c>
      <c r="O865" t="s">
        <v>1627</v>
      </c>
      <c r="P865">
        <v>5.25</v>
      </c>
      <c r="Q865">
        <v>2</v>
      </c>
      <c r="R865">
        <v>0.2</v>
      </c>
      <c r="S865">
        <v>0.59</v>
      </c>
    </row>
    <row r="866" spans="1:19" x14ac:dyDescent="0.3">
      <c r="A866" s="1">
        <v>41395</v>
      </c>
      <c r="B866">
        <v>2013</v>
      </c>
      <c r="C866" t="s">
        <v>129</v>
      </c>
      <c r="D866" s="1">
        <v>41456</v>
      </c>
      <c r="E866">
        <v>2</v>
      </c>
      <c r="F866" t="s">
        <v>20</v>
      </c>
      <c r="G866" t="s">
        <v>1486</v>
      </c>
      <c r="H866" t="s">
        <v>36</v>
      </c>
      <c r="I866" t="s">
        <v>23</v>
      </c>
      <c r="J866" t="s">
        <v>965</v>
      </c>
      <c r="K866" t="s">
        <v>48</v>
      </c>
      <c r="L866" t="s">
        <v>26</v>
      </c>
      <c r="M866" t="s">
        <v>59</v>
      </c>
      <c r="N866" t="s">
        <v>60</v>
      </c>
      <c r="O866" t="s">
        <v>1628</v>
      </c>
      <c r="P866">
        <v>59.18</v>
      </c>
      <c r="Q866">
        <v>2</v>
      </c>
      <c r="R866">
        <v>0.2</v>
      </c>
      <c r="S866">
        <v>5.18</v>
      </c>
    </row>
    <row r="867" spans="1:19" x14ac:dyDescent="0.3">
      <c r="A867" s="1">
        <v>40848</v>
      </c>
      <c r="B867">
        <v>2011</v>
      </c>
      <c r="C867" t="s">
        <v>129</v>
      </c>
      <c r="D867" t="s">
        <v>1478</v>
      </c>
      <c r="E867">
        <v>5</v>
      </c>
      <c r="F867" t="s">
        <v>45</v>
      </c>
      <c r="G867" t="s">
        <v>1629</v>
      </c>
      <c r="H867" t="s">
        <v>36</v>
      </c>
      <c r="I867" t="s">
        <v>23</v>
      </c>
      <c r="J867" t="s">
        <v>240</v>
      </c>
      <c r="K867" t="s">
        <v>241</v>
      </c>
      <c r="L867" t="s">
        <v>26</v>
      </c>
      <c r="M867" t="s">
        <v>40</v>
      </c>
      <c r="N867" t="s">
        <v>41</v>
      </c>
      <c r="O867" t="s">
        <v>1630</v>
      </c>
      <c r="P867">
        <v>2.89</v>
      </c>
      <c r="Q867">
        <v>1</v>
      </c>
      <c r="R867">
        <v>0</v>
      </c>
      <c r="S867">
        <v>1.36</v>
      </c>
    </row>
    <row r="868" spans="1:19" x14ac:dyDescent="0.3">
      <c r="A868" s="1">
        <v>40848</v>
      </c>
      <c r="B868">
        <v>2011</v>
      </c>
      <c r="C868" t="s">
        <v>129</v>
      </c>
      <c r="D868" t="s">
        <v>1478</v>
      </c>
      <c r="E868">
        <v>5</v>
      </c>
      <c r="F868" t="s">
        <v>45</v>
      </c>
      <c r="G868" t="s">
        <v>1629</v>
      </c>
      <c r="H868" t="s">
        <v>36</v>
      </c>
      <c r="I868" t="s">
        <v>23</v>
      </c>
      <c r="J868" t="s">
        <v>240</v>
      </c>
      <c r="K868" t="s">
        <v>241</v>
      </c>
      <c r="L868" t="s">
        <v>26</v>
      </c>
      <c r="M868" t="s">
        <v>27</v>
      </c>
      <c r="N868" t="s">
        <v>55</v>
      </c>
      <c r="O868" t="s">
        <v>1631</v>
      </c>
      <c r="P868">
        <v>51.94</v>
      </c>
      <c r="Q868">
        <v>1</v>
      </c>
      <c r="R868">
        <v>0</v>
      </c>
      <c r="S868">
        <v>21.3</v>
      </c>
    </row>
    <row r="869" spans="1:19" x14ac:dyDescent="0.3">
      <c r="A869" t="s">
        <v>1632</v>
      </c>
      <c r="B869">
        <v>2013</v>
      </c>
      <c r="C869" t="s">
        <v>124</v>
      </c>
      <c r="D869" s="1">
        <v>41343</v>
      </c>
      <c r="E869">
        <v>3</v>
      </c>
      <c r="F869" t="s">
        <v>151</v>
      </c>
      <c r="G869" t="s">
        <v>1633</v>
      </c>
      <c r="H869" t="s">
        <v>36</v>
      </c>
      <c r="I869" t="s">
        <v>23</v>
      </c>
      <c r="J869" t="s">
        <v>119</v>
      </c>
      <c r="K869" t="s">
        <v>120</v>
      </c>
      <c r="L869" t="s">
        <v>121</v>
      </c>
      <c r="M869" t="s">
        <v>40</v>
      </c>
      <c r="N869" t="s">
        <v>41</v>
      </c>
      <c r="O869" t="s">
        <v>1634</v>
      </c>
      <c r="P869">
        <v>15.94</v>
      </c>
      <c r="Q869">
        <v>4</v>
      </c>
      <c r="R869">
        <v>0.2</v>
      </c>
      <c r="S869">
        <v>5.18</v>
      </c>
    </row>
    <row r="870" spans="1:19" x14ac:dyDescent="0.3">
      <c r="A870" s="1">
        <v>40698</v>
      </c>
      <c r="B870">
        <v>2011</v>
      </c>
      <c r="C870" t="s">
        <v>69</v>
      </c>
      <c r="D870" s="1">
        <v>40820</v>
      </c>
      <c r="E870">
        <v>4</v>
      </c>
      <c r="F870" t="s">
        <v>45</v>
      </c>
      <c r="G870" t="s">
        <v>1635</v>
      </c>
      <c r="H870" t="s">
        <v>36</v>
      </c>
      <c r="I870" t="s">
        <v>23</v>
      </c>
      <c r="J870" t="s">
        <v>1511</v>
      </c>
      <c r="K870" t="s">
        <v>120</v>
      </c>
      <c r="L870" t="s">
        <v>121</v>
      </c>
      <c r="M870" t="s">
        <v>40</v>
      </c>
      <c r="N870" t="s">
        <v>62</v>
      </c>
      <c r="O870" t="s">
        <v>1636</v>
      </c>
      <c r="P870">
        <v>44.91</v>
      </c>
      <c r="Q870">
        <v>6</v>
      </c>
      <c r="R870">
        <v>0.7</v>
      </c>
      <c r="S870">
        <v>-35.93</v>
      </c>
    </row>
    <row r="871" spans="1:19" x14ac:dyDescent="0.3">
      <c r="A871" s="1">
        <v>41373</v>
      </c>
      <c r="B871">
        <v>2013</v>
      </c>
      <c r="C871" t="s">
        <v>124</v>
      </c>
      <c r="D871" s="1">
        <v>41434</v>
      </c>
      <c r="E871">
        <v>2</v>
      </c>
      <c r="F871" t="s">
        <v>151</v>
      </c>
      <c r="G871" t="s">
        <v>1637</v>
      </c>
      <c r="H871" t="s">
        <v>84</v>
      </c>
      <c r="I871" t="s">
        <v>23</v>
      </c>
      <c r="J871" t="s">
        <v>119</v>
      </c>
      <c r="K871" t="s">
        <v>120</v>
      </c>
      <c r="L871" t="s">
        <v>121</v>
      </c>
      <c r="M871" t="s">
        <v>40</v>
      </c>
      <c r="N871" t="s">
        <v>62</v>
      </c>
      <c r="O871" t="s">
        <v>1638</v>
      </c>
      <c r="P871">
        <v>1141.47</v>
      </c>
      <c r="Q871">
        <v>5</v>
      </c>
      <c r="R871">
        <v>0.7</v>
      </c>
      <c r="S871">
        <v>-760.98</v>
      </c>
    </row>
    <row r="872" spans="1:19" x14ac:dyDescent="0.3">
      <c r="A872" s="1">
        <v>41373</v>
      </c>
      <c r="B872">
        <v>2013</v>
      </c>
      <c r="C872" t="s">
        <v>124</v>
      </c>
      <c r="D872" s="1">
        <v>41434</v>
      </c>
      <c r="E872">
        <v>2</v>
      </c>
      <c r="F872" t="s">
        <v>151</v>
      </c>
      <c r="G872" t="s">
        <v>1637</v>
      </c>
      <c r="H872" t="s">
        <v>84</v>
      </c>
      <c r="I872" t="s">
        <v>23</v>
      </c>
      <c r="J872" t="s">
        <v>119</v>
      </c>
      <c r="K872" t="s">
        <v>120</v>
      </c>
      <c r="L872" t="s">
        <v>121</v>
      </c>
      <c r="M872" t="s">
        <v>59</v>
      </c>
      <c r="N872" t="s">
        <v>60</v>
      </c>
      <c r="O872" t="s">
        <v>1195</v>
      </c>
      <c r="P872">
        <v>280.77999999999997</v>
      </c>
      <c r="Q872">
        <v>3</v>
      </c>
      <c r="R872">
        <v>0.4</v>
      </c>
      <c r="S872">
        <v>-46.8</v>
      </c>
    </row>
    <row r="873" spans="1:19" x14ac:dyDescent="0.3">
      <c r="A873" t="s">
        <v>1639</v>
      </c>
      <c r="B873">
        <v>2012</v>
      </c>
      <c r="C873" t="s">
        <v>43</v>
      </c>
      <c r="D873" t="s">
        <v>341</v>
      </c>
      <c r="E873">
        <v>1</v>
      </c>
      <c r="F873" t="s">
        <v>151</v>
      </c>
      <c r="G873" t="s">
        <v>137</v>
      </c>
      <c r="H873" t="s">
        <v>22</v>
      </c>
      <c r="I873" t="s">
        <v>23</v>
      </c>
      <c r="J873" t="s">
        <v>72</v>
      </c>
      <c r="K873" t="s">
        <v>1640</v>
      </c>
      <c r="L873" t="s">
        <v>121</v>
      </c>
      <c r="M873" t="s">
        <v>40</v>
      </c>
      <c r="N873" t="s">
        <v>74</v>
      </c>
      <c r="O873" t="s">
        <v>1641</v>
      </c>
      <c r="P873">
        <v>34.44</v>
      </c>
      <c r="Q873">
        <v>3</v>
      </c>
      <c r="R873">
        <v>0</v>
      </c>
      <c r="S873">
        <v>17.22</v>
      </c>
    </row>
    <row r="874" spans="1:19" x14ac:dyDescent="0.3">
      <c r="A874" s="1">
        <v>40828</v>
      </c>
      <c r="B874">
        <v>2011</v>
      </c>
      <c r="C874" t="s">
        <v>76</v>
      </c>
      <c r="D874" t="s">
        <v>1642</v>
      </c>
      <c r="E874">
        <v>5</v>
      </c>
      <c r="F874" t="s">
        <v>45</v>
      </c>
      <c r="G874" t="s">
        <v>1643</v>
      </c>
      <c r="H874" t="s">
        <v>22</v>
      </c>
      <c r="I874" t="s">
        <v>23</v>
      </c>
      <c r="J874" t="s">
        <v>208</v>
      </c>
      <c r="K874" t="s">
        <v>209</v>
      </c>
      <c r="L874" t="s">
        <v>121</v>
      </c>
      <c r="M874" t="s">
        <v>40</v>
      </c>
      <c r="N874" t="s">
        <v>74</v>
      </c>
      <c r="O874" t="s">
        <v>680</v>
      </c>
      <c r="P874">
        <v>11.36</v>
      </c>
      <c r="Q874">
        <v>2</v>
      </c>
      <c r="R874">
        <v>0</v>
      </c>
      <c r="S874">
        <v>5.23</v>
      </c>
    </row>
    <row r="875" spans="1:19" x14ac:dyDescent="0.3">
      <c r="A875" s="1">
        <v>40828</v>
      </c>
      <c r="B875">
        <v>2011</v>
      </c>
      <c r="C875" t="s">
        <v>76</v>
      </c>
      <c r="D875" t="s">
        <v>1642</v>
      </c>
      <c r="E875">
        <v>5</v>
      </c>
      <c r="F875" t="s">
        <v>45</v>
      </c>
      <c r="G875" t="s">
        <v>1643</v>
      </c>
      <c r="H875" t="s">
        <v>22</v>
      </c>
      <c r="I875" t="s">
        <v>23</v>
      </c>
      <c r="J875" t="s">
        <v>208</v>
      </c>
      <c r="K875" t="s">
        <v>209</v>
      </c>
      <c r="L875" t="s">
        <v>121</v>
      </c>
      <c r="M875" t="s">
        <v>40</v>
      </c>
      <c r="N875" t="s">
        <v>62</v>
      </c>
      <c r="O875" t="s">
        <v>1013</v>
      </c>
      <c r="P875">
        <v>106.34</v>
      </c>
      <c r="Q875">
        <v>7</v>
      </c>
      <c r="R875">
        <v>0.2</v>
      </c>
      <c r="S875">
        <v>37.22</v>
      </c>
    </row>
    <row r="876" spans="1:19" x14ac:dyDescent="0.3">
      <c r="A876" t="s">
        <v>1644</v>
      </c>
      <c r="B876">
        <v>2014</v>
      </c>
      <c r="C876" t="s">
        <v>103</v>
      </c>
      <c r="D876" t="s">
        <v>1645</v>
      </c>
      <c r="E876">
        <v>4</v>
      </c>
      <c r="F876" t="s">
        <v>45</v>
      </c>
      <c r="G876" t="s">
        <v>1605</v>
      </c>
      <c r="H876" t="s">
        <v>22</v>
      </c>
      <c r="I876" t="s">
        <v>23</v>
      </c>
      <c r="J876" t="s">
        <v>336</v>
      </c>
      <c r="K876" t="s">
        <v>73</v>
      </c>
      <c r="L876" t="s">
        <v>26</v>
      </c>
      <c r="M876" t="s">
        <v>40</v>
      </c>
      <c r="N876" t="s">
        <v>74</v>
      </c>
      <c r="O876" t="s">
        <v>1646</v>
      </c>
      <c r="P876">
        <v>192.16</v>
      </c>
      <c r="Q876">
        <v>5</v>
      </c>
      <c r="R876">
        <v>0.2</v>
      </c>
      <c r="S876">
        <v>67.260000000000005</v>
      </c>
    </row>
    <row r="877" spans="1:19" x14ac:dyDescent="0.3">
      <c r="A877" t="s">
        <v>1647</v>
      </c>
      <c r="B877">
        <v>2013</v>
      </c>
      <c r="C877" t="s">
        <v>129</v>
      </c>
      <c r="D877" t="s">
        <v>1648</v>
      </c>
      <c r="E877">
        <v>4</v>
      </c>
      <c r="F877" t="s">
        <v>45</v>
      </c>
      <c r="G877" t="s">
        <v>1320</v>
      </c>
      <c r="H877" t="s">
        <v>84</v>
      </c>
      <c r="I877" t="s">
        <v>23</v>
      </c>
      <c r="J877" t="s">
        <v>72</v>
      </c>
      <c r="K877" t="s">
        <v>1640</v>
      </c>
      <c r="L877" t="s">
        <v>121</v>
      </c>
      <c r="M877" t="s">
        <v>27</v>
      </c>
      <c r="N877" t="s">
        <v>55</v>
      </c>
      <c r="O877" t="s">
        <v>604</v>
      </c>
      <c r="P877">
        <v>322.58999999999997</v>
      </c>
      <c r="Q877">
        <v>3</v>
      </c>
      <c r="R877">
        <v>0</v>
      </c>
      <c r="S877">
        <v>64.52</v>
      </c>
    </row>
    <row r="878" spans="1:19" x14ac:dyDescent="0.3">
      <c r="A878" t="s">
        <v>1647</v>
      </c>
      <c r="B878">
        <v>2013</v>
      </c>
      <c r="C878" t="s">
        <v>129</v>
      </c>
      <c r="D878" t="s">
        <v>1648</v>
      </c>
      <c r="E878">
        <v>4</v>
      </c>
      <c r="F878" t="s">
        <v>45</v>
      </c>
      <c r="G878" t="s">
        <v>1320</v>
      </c>
      <c r="H878" t="s">
        <v>84</v>
      </c>
      <c r="I878" t="s">
        <v>23</v>
      </c>
      <c r="J878" t="s">
        <v>72</v>
      </c>
      <c r="K878" t="s">
        <v>1640</v>
      </c>
      <c r="L878" t="s">
        <v>121</v>
      </c>
      <c r="M878" t="s">
        <v>59</v>
      </c>
      <c r="N878" t="s">
        <v>133</v>
      </c>
      <c r="O878" t="s">
        <v>668</v>
      </c>
      <c r="P878">
        <v>29.99</v>
      </c>
      <c r="Q878">
        <v>1</v>
      </c>
      <c r="R878">
        <v>0</v>
      </c>
      <c r="S878">
        <v>13.2</v>
      </c>
    </row>
    <row r="879" spans="1:19" x14ac:dyDescent="0.3">
      <c r="A879" t="s">
        <v>1647</v>
      </c>
      <c r="B879">
        <v>2013</v>
      </c>
      <c r="C879" t="s">
        <v>129</v>
      </c>
      <c r="D879" t="s">
        <v>1648</v>
      </c>
      <c r="E879">
        <v>4</v>
      </c>
      <c r="F879" t="s">
        <v>45</v>
      </c>
      <c r="G879" t="s">
        <v>1320</v>
      </c>
      <c r="H879" t="s">
        <v>84</v>
      </c>
      <c r="I879" t="s">
        <v>23</v>
      </c>
      <c r="J879" t="s">
        <v>72</v>
      </c>
      <c r="K879" t="s">
        <v>1640</v>
      </c>
      <c r="L879" t="s">
        <v>121</v>
      </c>
      <c r="M879" t="s">
        <v>59</v>
      </c>
      <c r="N879" t="s">
        <v>133</v>
      </c>
      <c r="O879" t="s">
        <v>1649</v>
      </c>
      <c r="P879">
        <v>371.97</v>
      </c>
      <c r="Q879">
        <v>3</v>
      </c>
      <c r="R879">
        <v>0</v>
      </c>
      <c r="S879">
        <v>66.95</v>
      </c>
    </row>
    <row r="880" spans="1:19" x14ac:dyDescent="0.3">
      <c r="A880" t="s">
        <v>597</v>
      </c>
      <c r="B880">
        <v>2011</v>
      </c>
      <c r="C880" t="s">
        <v>124</v>
      </c>
      <c r="D880" t="s">
        <v>640</v>
      </c>
      <c r="E880">
        <v>4</v>
      </c>
      <c r="F880" t="s">
        <v>45</v>
      </c>
      <c r="G880" t="s">
        <v>1650</v>
      </c>
      <c r="H880" t="s">
        <v>84</v>
      </c>
      <c r="I880" t="s">
        <v>23</v>
      </c>
      <c r="J880" t="s">
        <v>119</v>
      </c>
      <c r="K880" t="s">
        <v>120</v>
      </c>
      <c r="L880" t="s">
        <v>121</v>
      </c>
      <c r="M880" t="s">
        <v>40</v>
      </c>
      <c r="N880" t="s">
        <v>62</v>
      </c>
      <c r="O880" t="s">
        <v>1651</v>
      </c>
      <c r="P880">
        <v>5.89</v>
      </c>
      <c r="Q880">
        <v>4</v>
      </c>
      <c r="R880">
        <v>0.7</v>
      </c>
      <c r="S880">
        <v>-4.12</v>
      </c>
    </row>
    <row r="881" spans="1:19" x14ac:dyDescent="0.3">
      <c r="A881" s="1">
        <v>41651</v>
      </c>
      <c r="B881">
        <v>2014</v>
      </c>
      <c r="C881" t="s">
        <v>76</v>
      </c>
      <c r="D881" s="1">
        <v>41710</v>
      </c>
      <c r="E881">
        <v>2</v>
      </c>
      <c r="F881" t="s">
        <v>20</v>
      </c>
      <c r="G881" t="s">
        <v>83</v>
      </c>
      <c r="H881" t="s">
        <v>84</v>
      </c>
      <c r="I881" t="s">
        <v>23</v>
      </c>
      <c r="J881" t="s">
        <v>208</v>
      </c>
      <c r="K881" t="s">
        <v>209</v>
      </c>
      <c r="L881" t="s">
        <v>121</v>
      </c>
      <c r="M881" t="s">
        <v>40</v>
      </c>
      <c r="N881" t="s">
        <v>62</v>
      </c>
      <c r="O881" t="s">
        <v>1652</v>
      </c>
      <c r="P881">
        <v>68.47</v>
      </c>
      <c r="Q881">
        <v>3</v>
      </c>
      <c r="R881">
        <v>0.2</v>
      </c>
      <c r="S881">
        <v>23.11</v>
      </c>
    </row>
    <row r="882" spans="1:19" x14ac:dyDescent="0.3">
      <c r="A882" s="1">
        <v>41651</v>
      </c>
      <c r="B882">
        <v>2014</v>
      </c>
      <c r="C882" t="s">
        <v>76</v>
      </c>
      <c r="D882" s="1">
        <v>41710</v>
      </c>
      <c r="E882">
        <v>2</v>
      </c>
      <c r="F882" t="s">
        <v>20</v>
      </c>
      <c r="G882" t="s">
        <v>83</v>
      </c>
      <c r="H882" t="s">
        <v>84</v>
      </c>
      <c r="I882" t="s">
        <v>23</v>
      </c>
      <c r="J882" t="s">
        <v>208</v>
      </c>
      <c r="K882" t="s">
        <v>209</v>
      </c>
      <c r="L882" t="s">
        <v>121</v>
      </c>
      <c r="M882" t="s">
        <v>27</v>
      </c>
      <c r="N882" t="s">
        <v>30</v>
      </c>
      <c r="O882" t="s">
        <v>468</v>
      </c>
      <c r="P882">
        <v>1242.9000000000001</v>
      </c>
      <c r="Q882">
        <v>5</v>
      </c>
      <c r="R882">
        <v>0.1</v>
      </c>
      <c r="S882">
        <v>262.39</v>
      </c>
    </row>
    <row r="883" spans="1:19" x14ac:dyDescent="0.3">
      <c r="A883" s="1">
        <v>41162</v>
      </c>
      <c r="B883">
        <v>2012</v>
      </c>
      <c r="C883" t="s">
        <v>43</v>
      </c>
      <c r="D883" t="s">
        <v>1602</v>
      </c>
      <c r="E883">
        <v>4</v>
      </c>
      <c r="F883" t="s">
        <v>45</v>
      </c>
      <c r="G883" t="s">
        <v>362</v>
      </c>
      <c r="H883" t="s">
        <v>22</v>
      </c>
      <c r="I883" t="s">
        <v>23</v>
      </c>
      <c r="J883" t="s">
        <v>240</v>
      </c>
      <c r="K883" t="s">
        <v>241</v>
      </c>
      <c r="L883" t="s">
        <v>26</v>
      </c>
      <c r="M883" t="s">
        <v>40</v>
      </c>
      <c r="N883" t="s">
        <v>51</v>
      </c>
      <c r="O883" t="s">
        <v>1031</v>
      </c>
      <c r="P883">
        <v>30.84</v>
      </c>
      <c r="Q883">
        <v>2</v>
      </c>
      <c r="R883">
        <v>0</v>
      </c>
      <c r="S883">
        <v>8.33</v>
      </c>
    </row>
    <row r="884" spans="1:19" x14ac:dyDescent="0.3">
      <c r="A884" t="s">
        <v>1653</v>
      </c>
      <c r="B884">
        <v>2014</v>
      </c>
      <c r="C884" t="s">
        <v>76</v>
      </c>
      <c r="D884" t="s">
        <v>1653</v>
      </c>
      <c r="E884">
        <v>0</v>
      </c>
      <c r="F884" t="s">
        <v>828</v>
      </c>
      <c r="G884" t="s">
        <v>323</v>
      </c>
      <c r="H884" t="s">
        <v>22</v>
      </c>
      <c r="I884" t="s">
        <v>23</v>
      </c>
      <c r="J884" t="s">
        <v>105</v>
      </c>
      <c r="K884" t="s">
        <v>38</v>
      </c>
      <c r="L884" t="s">
        <v>39</v>
      </c>
      <c r="M884" t="s">
        <v>40</v>
      </c>
      <c r="N884" t="s">
        <v>57</v>
      </c>
      <c r="O884" t="s">
        <v>1393</v>
      </c>
      <c r="P884">
        <v>13.48</v>
      </c>
      <c r="Q884">
        <v>4</v>
      </c>
      <c r="R884">
        <v>0</v>
      </c>
      <c r="S884">
        <v>5.93</v>
      </c>
    </row>
    <row r="885" spans="1:19" x14ac:dyDescent="0.3">
      <c r="A885" t="s">
        <v>1654</v>
      </c>
      <c r="B885">
        <v>2013</v>
      </c>
      <c r="C885" t="s">
        <v>43</v>
      </c>
      <c r="D885" t="s">
        <v>1655</v>
      </c>
      <c r="E885">
        <v>2</v>
      </c>
      <c r="F885" t="s">
        <v>151</v>
      </c>
      <c r="G885" t="s">
        <v>1656</v>
      </c>
      <c r="H885" t="s">
        <v>84</v>
      </c>
      <c r="I885" t="s">
        <v>23</v>
      </c>
      <c r="J885" t="s">
        <v>588</v>
      </c>
      <c r="K885" t="s">
        <v>188</v>
      </c>
      <c r="L885" t="s">
        <v>87</v>
      </c>
      <c r="M885" t="s">
        <v>27</v>
      </c>
      <c r="N885" t="s">
        <v>55</v>
      </c>
      <c r="O885" t="s">
        <v>1308</v>
      </c>
      <c r="P885">
        <v>31.4</v>
      </c>
      <c r="Q885">
        <v>5</v>
      </c>
      <c r="R885">
        <v>0</v>
      </c>
      <c r="S885">
        <v>10.050000000000001</v>
      </c>
    </row>
    <row r="886" spans="1:19" x14ac:dyDescent="0.3">
      <c r="A886" t="s">
        <v>1657</v>
      </c>
      <c r="B886">
        <v>2011</v>
      </c>
      <c r="C886" t="s">
        <v>69</v>
      </c>
      <c r="D886" s="1">
        <v>40638</v>
      </c>
      <c r="E886">
        <v>5</v>
      </c>
      <c r="F886" t="s">
        <v>45</v>
      </c>
      <c r="G886" t="s">
        <v>1658</v>
      </c>
      <c r="H886" t="s">
        <v>22</v>
      </c>
      <c r="I886" t="s">
        <v>23</v>
      </c>
      <c r="J886" t="s">
        <v>288</v>
      </c>
      <c r="K886" t="s">
        <v>209</v>
      </c>
      <c r="L886" t="s">
        <v>121</v>
      </c>
      <c r="M886" t="s">
        <v>27</v>
      </c>
      <c r="N886" t="s">
        <v>55</v>
      </c>
      <c r="O886" t="s">
        <v>1659</v>
      </c>
      <c r="P886">
        <v>17.46</v>
      </c>
      <c r="Q886">
        <v>2</v>
      </c>
      <c r="R886">
        <v>0</v>
      </c>
      <c r="S886">
        <v>5.94</v>
      </c>
    </row>
    <row r="887" spans="1:19" x14ac:dyDescent="0.3">
      <c r="A887" t="s">
        <v>1660</v>
      </c>
      <c r="B887">
        <v>2012</v>
      </c>
      <c r="C887" t="s">
        <v>69</v>
      </c>
      <c r="D887" t="s">
        <v>852</v>
      </c>
      <c r="E887">
        <v>3</v>
      </c>
      <c r="F887" t="s">
        <v>20</v>
      </c>
      <c r="G887" t="s">
        <v>1661</v>
      </c>
      <c r="H887" t="s">
        <v>36</v>
      </c>
      <c r="I887" t="s">
        <v>23</v>
      </c>
      <c r="J887" t="s">
        <v>37</v>
      </c>
      <c r="K887" t="s">
        <v>38</v>
      </c>
      <c r="L887" t="s">
        <v>39</v>
      </c>
      <c r="M887" t="s">
        <v>40</v>
      </c>
      <c r="N887" t="s">
        <v>62</v>
      </c>
      <c r="O887" t="s">
        <v>1662</v>
      </c>
      <c r="P887">
        <v>13.94</v>
      </c>
      <c r="Q887">
        <v>3</v>
      </c>
      <c r="R887">
        <v>0.2</v>
      </c>
      <c r="S887">
        <v>4.53</v>
      </c>
    </row>
    <row r="888" spans="1:19" x14ac:dyDescent="0.3">
      <c r="A888" t="s">
        <v>1663</v>
      </c>
      <c r="B888">
        <v>2014</v>
      </c>
      <c r="C888" t="s">
        <v>33</v>
      </c>
      <c r="D888" s="1">
        <v>41705</v>
      </c>
      <c r="E888">
        <v>6</v>
      </c>
      <c r="F888" t="s">
        <v>45</v>
      </c>
      <c r="G888" t="s">
        <v>1181</v>
      </c>
      <c r="H888" t="s">
        <v>22</v>
      </c>
      <c r="I888" t="s">
        <v>23</v>
      </c>
      <c r="J888" t="s">
        <v>624</v>
      </c>
      <c r="K888" t="s">
        <v>38</v>
      </c>
      <c r="L888" t="s">
        <v>39</v>
      </c>
      <c r="M888" t="s">
        <v>40</v>
      </c>
      <c r="N888" t="s">
        <v>51</v>
      </c>
      <c r="O888" t="s">
        <v>1664</v>
      </c>
      <c r="P888">
        <v>83.76</v>
      </c>
      <c r="Q888">
        <v>12</v>
      </c>
      <c r="R888">
        <v>0</v>
      </c>
      <c r="S888">
        <v>1.68</v>
      </c>
    </row>
    <row r="889" spans="1:19" x14ac:dyDescent="0.3">
      <c r="A889" t="s">
        <v>1665</v>
      </c>
      <c r="B889">
        <v>2014</v>
      </c>
      <c r="C889" t="s">
        <v>43</v>
      </c>
      <c r="D889" t="s">
        <v>146</v>
      </c>
      <c r="E889">
        <v>5</v>
      </c>
      <c r="F889" t="s">
        <v>45</v>
      </c>
      <c r="G889" t="s">
        <v>1666</v>
      </c>
      <c r="H889" t="s">
        <v>84</v>
      </c>
      <c r="I889" t="s">
        <v>23</v>
      </c>
      <c r="J889" t="s">
        <v>283</v>
      </c>
      <c r="K889" t="s">
        <v>1667</v>
      </c>
      <c r="L889" t="s">
        <v>121</v>
      </c>
      <c r="M889" t="s">
        <v>40</v>
      </c>
      <c r="N889" t="s">
        <v>62</v>
      </c>
      <c r="O889" t="s">
        <v>227</v>
      </c>
      <c r="P889">
        <v>37.659999999999997</v>
      </c>
      <c r="Q889">
        <v>7</v>
      </c>
      <c r="R889">
        <v>0</v>
      </c>
      <c r="S889">
        <v>18.45</v>
      </c>
    </row>
    <row r="890" spans="1:19" x14ac:dyDescent="0.3">
      <c r="A890" s="1">
        <v>40798</v>
      </c>
      <c r="B890">
        <v>2011</v>
      </c>
      <c r="C890" t="s">
        <v>76</v>
      </c>
      <c r="D890" t="s">
        <v>1668</v>
      </c>
      <c r="E890">
        <v>7</v>
      </c>
      <c r="F890" t="s">
        <v>45</v>
      </c>
      <c r="G890" t="s">
        <v>1608</v>
      </c>
      <c r="H890" t="s">
        <v>36</v>
      </c>
      <c r="I890" t="s">
        <v>23</v>
      </c>
      <c r="J890" t="s">
        <v>105</v>
      </c>
      <c r="K890" t="s">
        <v>38</v>
      </c>
      <c r="L890" t="s">
        <v>39</v>
      </c>
      <c r="M890" t="s">
        <v>40</v>
      </c>
      <c r="N890" t="s">
        <v>74</v>
      </c>
      <c r="O890" t="s">
        <v>930</v>
      </c>
      <c r="P890">
        <v>34.68</v>
      </c>
      <c r="Q890">
        <v>6</v>
      </c>
      <c r="R890">
        <v>0</v>
      </c>
      <c r="S890">
        <v>16.989999999999998</v>
      </c>
    </row>
    <row r="891" spans="1:19" x14ac:dyDescent="0.3">
      <c r="A891" t="s">
        <v>312</v>
      </c>
      <c r="B891">
        <v>2014</v>
      </c>
      <c r="C891" t="s">
        <v>33</v>
      </c>
      <c r="D891" t="s">
        <v>1663</v>
      </c>
      <c r="E891">
        <v>6</v>
      </c>
      <c r="F891" t="s">
        <v>45</v>
      </c>
      <c r="G891" t="s">
        <v>1038</v>
      </c>
      <c r="H891" t="s">
        <v>22</v>
      </c>
      <c r="I891" t="s">
        <v>23</v>
      </c>
      <c r="J891" t="s">
        <v>951</v>
      </c>
      <c r="K891" t="s">
        <v>209</v>
      </c>
      <c r="L891" t="s">
        <v>121</v>
      </c>
      <c r="M891" t="s">
        <v>59</v>
      </c>
      <c r="N891" t="s">
        <v>133</v>
      </c>
      <c r="O891" t="s">
        <v>1669</v>
      </c>
      <c r="P891">
        <v>149.94999999999999</v>
      </c>
      <c r="Q891">
        <v>5</v>
      </c>
      <c r="R891">
        <v>0</v>
      </c>
      <c r="S891">
        <v>15</v>
      </c>
    </row>
    <row r="892" spans="1:19" x14ac:dyDescent="0.3">
      <c r="A892" t="s">
        <v>312</v>
      </c>
      <c r="B892">
        <v>2014</v>
      </c>
      <c r="C892" t="s">
        <v>33</v>
      </c>
      <c r="D892" t="s">
        <v>1663</v>
      </c>
      <c r="E892">
        <v>6</v>
      </c>
      <c r="F892" t="s">
        <v>45</v>
      </c>
      <c r="G892" t="s">
        <v>1038</v>
      </c>
      <c r="H892" t="s">
        <v>22</v>
      </c>
      <c r="I892" t="s">
        <v>23</v>
      </c>
      <c r="J892" t="s">
        <v>951</v>
      </c>
      <c r="K892" t="s">
        <v>209</v>
      </c>
      <c r="L892" t="s">
        <v>121</v>
      </c>
      <c r="M892" t="s">
        <v>40</v>
      </c>
      <c r="N892" t="s">
        <v>62</v>
      </c>
      <c r="O892" t="s">
        <v>1009</v>
      </c>
      <c r="P892">
        <v>51.31</v>
      </c>
      <c r="Q892">
        <v>3</v>
      </c>
      <c r="R892">
        <v>0.2</v>
      </c>
      <c r="S892">
        <v>18.600000000000001</v>
      </c>
    </row>
    <row r="893" spans="1:19" x14ac:dyDescent="0.3">
      <c r="A893" t="s">
        <v>1663</v>
      </c>
      <c r="B893">
        <v>2014</v>
      </c>
      <c r="C893" t="s">
        <v>33</v>
      </c>
      <c r="D893" t="s">
        <v>1569</v>
      </c>
      <c r="E893">
        <v>1</v>
      </c>
      <c r="F893" t="s">
        <v>151</v>
      </c>
      <c r="G893" t="s">
        <v>1405</v>
      </c>
      <c r="H893" t="s">
        <v>84</v>
      </c>
      <c r="I893" t="s">
        <v>23</v>
      </c>
      <c r="J893" t="s">
        <v>588</v>
      </c>
      <c r="K893" t="s">
        <v>188</v>
      </c>
      <c r="L893" t="s">
        <v>87</v>
      </c>
      <c r="M893" t="s">
        <v>40</v>
      </c>
      <c r="N893" t="s">
        <v>74</v>
      </c>
      <c r="O893" t="s">
        <v>1670</v>
      </c>
      <c r="P893">
        <v>4.54</v>
      </c>
      <c r="Q893">
        <v>1</v>
      </c>
      <c r="R893">
        <v>0</v>
      </c>
      <c r="S893">
        <v>2.04</v>
      </c>
    </row>
    <row r="894" spans="1:19" x14ac:dyDescent="0.3">
      <c r="A894" t="s">
        <v>1663</v>
      </c>
      <c r="B894">
        <v>2014</v>
      </c>
      <c r="C894" t="s">
        <v>33</v>
      </c>
      <c r="D894" t="s">
        <v>1569</v>
      </c>
      <c r="E894">
        <v>1</v>
      </c>
      <c r="F894" t="s">
        <v>151</v>
      </c>
      <c r="G894" t="s">
        <v>1405</v>
      </c>
      <c r="H894" t="s">
        <v>84</v>
      </c>
      <c r="I894" t="s">
        <v>23</v>
      </c>
      <c r="J894" t="s">
        <v>588</v>
      </c>
      <c r="K894" t="s">
        <v>188</v>
      </c>
      <c r="L894" t="s">
        <v>87</v>
      </c>
      <c r="M894" t="s">
        <v>40</v>
      </c>
      <c r="N894" t="s">
        <v>57</v>
      </c>
      <c r="O894" t="s">
        <v>1671</v>
      </c>
      <c r="P894">
        <v>15.92</v>
      </c>
      <c r="Q894">
        <v>4</v>
      </c>
      <c r="R894">
        <v>0</v>
      </c>
      <c r="S894">
        <v>5.41</v>
      </c>
    </row>
    <row r="895" spans="1:19" x14ac:dyDescent="0.3">
      <c r="A895" t="s">
        <v>1663</v>
      </c>
      <c r="B895">
        <v>2014</v>
      </c>
      <c r="C895" t="s">
        <v>33</v>
      </c>
      <c r="D895" t="s">
        <v>1569</v>
      </c>
      <c r="E895">
        <v>1</v>
      </c>
      <c r="F895" t="s">
        <v>151</v>
      </c>
      <c r="G895" t="s">
        <v>1405</v>
      </c>
      <c r="H895" t="s">
        <v>84</v>
      </c>
      <c r="I895" t="s">
        <v>23</v>
      </c>
      <c r="J895" t="s">
        <v>588</v>
      </c>
      <c r="K895" t="s">
        <v>188</v>
      </c>
      <c r="L895" t="s">
        <v>87</v>
      </c>
      <c r="M895" t="s">
        <v>59</v>
      </c>
      <c r="N895" t="s">
        <v>60</v>
      </c>
      <c r="O895" t="s">
        <v>1672</v>
      </c>
      <c r="P895">
        <v>543.91999999999996</v>
      </c>
      <c r="Q895">
        <v>8</v>
      </c>
      <c r="R895">
        <v>0</v>
      </c>
      <c r="S895">
        <v>135.97999999999999</v>
      </c>
    </row>
    <row r="896" spans="1:19" x14ac:dyDescent="0.3">
      <c r="A896" s="1">
        <v>41589</v>
      </c>
      <c r="B896">
        <v>2013</v>
      </c>
      <c r="C896" t="s">
        <v>19</v>
      </c>
      <c r="D896" t="s">
        <v>1673</v>
      </c>
      <c r="E896">
        <v>2</v>
      </c>
      <c r="F896" t="s">
        <v>151</v>
      </c>
      <c r="G896" t="s">
        <v>1674</v>
      </c>
      <c r="H896" t="s">
        <v>36</v>
      </c>
      <c r="I896" t="s">
        <v>23</v>
      </c>
      <c r="J896" t="s">
        <v>105</v>
      </c>
      <c r="K896" t="s">
        <v>38</v>
      </c>
      <c r="L896" t="s">
        <v>39</v>
      </c>
      <c r="M896" t="s">
        <v>40</v>
      </c>
      <c r="N896" t="s">
        <v>51</v>
      </c>
      <c r="O896" t="s">
        <v>837</v>
      </c>
      <c r="P896">
        <v>155.82</v>
      </c>
      <c r="Q896">
        <v>7</v>
      </c>
      <c r="R896">
        <v>0</v>
      </c>
      <c r="S896">
        <v>42.07</v>
      </c>
    </row>
    <row r="897" spans="1:19" x14ac:dyDescent="0.3">
      <c r="A897" s="1">
        <v>41589</v>
      </c>
      <c r="B897">
        <v>2013</v>
      </c>
      <c r="C897" t="s">
        <v>19</v>
      </c>
      <c r="D897" t="s">
        <v>1673</v>
      </c>
      <c r="E897">
        <v>2</v>
      </c>
      <c r="F897" t="s">
        <v>151</v>
      </c>
      <c r="G897" t="s">
        <v>1674</v>
      </c>
      <c r="H897" t="s">
        <v>36</v>
      </c>
      <c r="I897" t="s">
        <v>23</v>
      </c>
      <c r="J897" t="s">
        <v>105</v>
      </c>
      <c r="K897" t="s">
        <v>38</v>
      </c>
      <c r="L897" t="s">
        <v>39</v>
      </c>
      <c r="M897" t="s">
        <v>40</v>
      </c>
      <c r="N897" t="s">
        <v>62</v>
      </c>
      <c r="O897" t="s">
        <v>1675</v>
      </c>
      <c r="P897">
        <v>70.010000000000005</v>
      </c>
      <c r="Q897">
        <v>3</v>
      </c>
      <c r="R897">
        <v>0.2</v>
      </c>
      <c r="S897">
        <v>24.5</v>
      </c>
    </row>
    <row r="898" spans="1:19" x14ac:dyDescent="0.3">
      <c r="A898" s="1">
        <v>41374</v>
      </c>
      <c r="B898">
        <v>2013</v>
      </c>
      <c r="C898" t="s">
        <v>43</v>
      </c>
      <c r="D898" s="1">
        <v>41465</v>
      </c>
      <c r="E898">
        <v>3</v>
      </c>
      <c r="F898" t="s">
        <v>20</v>
      </c>
      <c r="G898" t="s">
        <v>1676</v>
      </c>
      <c r="H898" t="s">
        <v>22</v>
      </c>
      <c r="I898" t="s">
        <v>23</v>
      </c>
      <c r="J898" t="s">
        <v>149</v>
      </c>
      <c r="K898" t="s">
        <v>86</v>
      </c>
      <c r="L898" t="s">
        <v>87</v>
      </c>
      <c r="M898" t="s">
        <v>40</v>
      </c>
      <c r="N898" t="s">
        <v>141</v>
      </c>
      <c r="O898" t="s">
        <v>150</v>
      </c>
      <c r="P898">
        <v>15.65</v>
      </c>
      <c r="Q898">
        <v>2</v>
      </c>
      <c r="R898">
        <v>0.2</v>
      </c>
      <c r="S898">
        <v>5.09</v>
      </c>
    </row>
    <row r="899" spans="1:19" x14ac:dyDescent="0.3">
      <c r="A899" s="1">
        <v>40795</v>
      </c>
      <c r="B899">
        <v>2011</v>
      </c>
      <c r="C899" t="s">
        <v>124</v>
      </c>
      <c r="D899" t="s">
        <v>1677</v>
      </c>
      <c r="E899">
        <v>6</v>
      </c>
      <c r="F899" t="s">
        <v>45</v>
      </c>
      <c r="G899" t="s">
        <v>1678</v>
      </c>
      <c r="H899" t="s">
        <v>22</v>
      </c>
      <c r="I899" t="s">
        <v>23</v>
      </c>
      <c r="J899" t="s">
        <v>588</v>
      </c>
      <c r="K899" t="s">
        <v>188</v>
      </c>
      <c r="L899" t="s">
        <v>87</v>
      </c>
      <c r="M899" t="s">
        <v>40</v>
      </c>
      <c r="N899" t="s">
        <v>41</v>
      </c>
      <c r="O899" t="s">
        <v>1050</v>
      </c>
      <c r="P899">
        <v>103.6</v>
      </c>
      <c r="Q899">
        <v>7</v>
      </c>
      <c r="R899">
        <v>0</v>
      </c>
      <c r="S899">
        <v>51.8</v>
      </c>
    </row>
    <row r="900" spans="1:19" x14ac:dyDescent="0.3">
      <c r="A900" t="s">
        <v>1679</v>
      </c>
      <c r="B900">
        <v>2014</v>
      </c>
      <c r="C900" t="s">
        <v>43</v>
      </c>
      <c r="D900" s="1">
        <v>41650</v>
      </c>
      <c r="E900">
        <v>2</v>
      </c>
      <c r="F900" t="s">
        <v>20</v>
      </c>
      <c r="G900" t="s">
        <v>1680</v>
      </c>
      <c r="H900" t="s">
        <v>36</v>
      </c>
      <c r="I900" t="s">
        <v>23</v>
      </c>
      <c r="J900" t="s">
        <v>987</v>
      </c>
      <c r="K900" t="s">
        <v>209</v>
      </c>
      <c r="L900" t="s">
        <v>121</v>
      </c>
      <c r="M900" t="s">
        <v>40</v>
      </c>
      <c r="N900" t="s">
        <v>74</v>
      </c>
      <c r="O900" t="s">
        <v>1681</v>
      </c>
      <c r="P900">
        <v>46.96</v>
      </c>
      <c r="Q900">
        <v>8</v>
      </c>
      <c r="R900">
        <v>0</v>
      </c>
      <c r="S900">
        <v>22.54</v>
      </c>
    </row>
    <row r="901" spans="1:19" x14ac:dyDescent="0.3">
      <c r="A901" s="1">
        <v>41582</v>
      </c>
      <c r="B901">
        <v>2013</v>
      </c>
      <c r="C901" t="s">
        <v>69</v>
      </c>
      <c r="D901" t="s">
        <v>1682</v>
      </c>
      <c r="E901">
        <v>2</v>
      </c>
      <c r="F901" t="s">
        <v>151</v>
      </c>
      <c r="G901" t="s">
        <v>1683</v>
      </c>
      <c r="H901" t="s">
        <v>36</v>
      </c>
      <c r="I901" t="s">
        <v>23</v>
      </c>
      <c r="J901" t="s">
        <v>240</v>
      </c>
      <c r="K901" t="s">
        <v>357</v>
      </c>
      <c r="L901" t="s">
        <v>121</v>
      </c>
      <c r="M901" t="s">
        <v>40</v>
      </c>
      <c r="N901" t="s">
        <v>62</v>
      </c>
      <c r="O901" t="s">
        <v>1684</v>
      </c>
      <c r="P901">
        <v>8.9</v>
      </c>
      <c r="Q901">
        <v>2</v>
      </c>
      <c r="R901">
        <v>0.7</v>
      </c>
      <c r="S901">
        <v>-6.53</v>
      </c>
    </row>
    <row r="902" spans="1:19" x14ac:dyDescent="0.3">
      <c r="A902" s="1">
        <v>41984</v>
      </c>
      <c r="B902">
        <v>2014</v>
      </c>
      <c r="C902" t="s">
        <v>19</v>
      </c>
      <c r="D902" t="s">
        <v>277</v>
      </c>
      <c r="E902">
        <v>2</v>
      </c>
      <c r="F902" t="s">
        <v>151</v>
      </c>
      <c r="G902" t="s">
        <v>801</v>
      </c>
      <c r="H902" t="s">
        <v>22</v>
      </c>
      <c r="I902" t="s">
        <v>23</v>
      </c>
      <c r="J902" t="s">
        <v>1685</v>
      </c>
      <c r="K902" t="s">
        <v>86</v>
      </c>
      <c r="L902" t="s">
        <v>87</v>
      </c>
      <c r="M902" t="s">
        <v>40</v>
      </c>
      <c r="N902" t="s">
        <v>41</v>
      </c>
      <c r="O902" t="s">
        <v>1686</v>
      </c>
      <c r="P902">
        <v>10.44</v>
      </c>
      <c r="Q902">
        <v>5</v>
      </c>
      <c r="R902">
        <v>0.2</v>
      </c>
      <c r="S902">
        <v>3.39</v>
      </c>
    </row>
    <row r="903" spans="1:19" x14ac:dyDescent="0.3">
      <c r="A903" s="1">
        <v>41984</v>
      </c>
      <c r="B903">
        <v>2014</v>
      </c>
      <c r="C903" t="s">
        <v>19</v>
      </c>
      <c r="D903" t="s">
        <v>277</v>
      </c>
      <c r="E903">
        <v>2</v>
      </c>
      <c r="F903" t="s">
        <v>151</v>
      </c>
      <c r="G903" t="s">
        <v>801</v>
      </c>
      <c r="H903" t="s">
        <v>22</v>
      </c>
      <c r="I903" t="s">
        <v>23</v>
      </c>
      <c r="J903" t="s">
        <v>1685</v>
      </c>
      <c r="K903" t="s">
        <v>86</v>
      </c>
      <c r="L903" t="s">
        <v>87</v>
      </c>
      <c r="M903" t="s">
        <v>40</v>
      </c>
      <c r="N903" t="s">
        <v>62</v>
      </c>
      <c r="O903" t="s">
        <v>1687</v>
      </c>
      <c r="P903">
        <v>18.34</v>
      </c>
      <c r="Q903">
        <v>4</v>
      </c>
      <c r="R903">
        <v>0.8</v>
      </c>
      <c r="S903">
        <v>-32.090000000000003</v>
      </c>
    </row>
    <row r="904" spans="1:19" x14ac:dyDescent="0.3">
      <c r="A904" t="s">
        <v>163</v>
      </c>
      <c r="B904">
        <v>2014</v>
      </c>
      <c r="C904" t="s">
        <v>124</v>
      </c>
      <c r="D904" t="s">
        <v>248</v>
      </c>
      <c r="E904">
        <v>2</v>
      </c>
      <c r="F904" t="s">
        <v>151</v>
      </c>
      <c r="G904" t="s">
        <v>442</v>
      </c>
      <c r="H904" t="s">
        <v>22</v>
      </c>
      <c r="I904" t="s">
        <v>23</v>
      </c>
      <c r="J904" t="s">
        <v>232</v>
      </c>
      <c r="K904" t="s">
        <v>166</v>
      </c>
      <c r="L904" t="s">
        <v>87</v>
      </c>
      <c r="M904" t="s">
        <v>59</v>
      </c>
      <c r="N904" t="s">
        <v>60</v>
      </c>
      <c r="O904" t="s">
        <v>449</v>
      </c>
      <c r="P904">
        <v>323.98</v>
      </c>
      <c r="Q904">
        <v>3</v>
      </c>
      <c r="R904">
        <v>0.2</v>
      </c>
      <c r="S904">
        <v>20.25</v>
      </c>
    </row>
    <row r="905" spans="1:19" x14ac:dyDescent="0.3">
      <c r="A905" s="1">
        <v>41521</v>
      </c>
      <c r="B905">
        <v>2013</v>
      </c>
      <c r="C905" t="s">
        <v>69</v>
      </c>
      <c r="D905" t="s">
        <v>1682</v>
      </c>
      <c r="E905">
        <v>4</v>
      </c>
      <c r="F905" t="s">
        <v>45</v>
      </c>
      <c r="G905" t="s">
        <v>551</v>
      </c>
      <c r="H905" t="s">
        <v>22</v>
      </c>
      <c r="I905" t="s">
        <v>23</v>
      </c>
      <c r="J905" t="s">
        <v>37</v>
      </c>
      <c r="K905" t="s">
        <v>38</v>
      </c>
      <c r="L905" t="s">
        <v>39</v>
      </c>
      <c r="M905" t="s">
        <v>40</v>
      </c>
      <c r="N905" t="s">
        <v>74</v>
      </c>
      <c r="O905" t="s">
        <v>1688</v>
      </c>
      <c r="P905">
        <v>20.04</v>
      </c>
      <c r="Q905">
        <v>3</v>
      </c>
      <c r="R905">
        <v>0</v>
      </c>
      <c r="S905">
        <v>9.6199999999999992</v>
      </c>
    </row>
    <row r="906" spans="1:19" x14ac:dyDescent="0.3">
      <c r="A906" s="1">
        <v>41521</v>
      </c>
      <c r="B906">
        <v>2013</v>
      </c>
      <c r="C906" t="s">
        <v>69</v>
      </c>
      <c r="D906" t="s">
        <v>1682</v>
      </c>
      <c r="E906">
        <v>4</v>
      </c>
      <c r="F906" t="s">
        <v>45</v>
      </c>
      <c r="G906" t="s">
        <v>551</v>
      </c>
      <c r="H906" t="s">
        <v>22</v>
      </c>
      <c r="I906" t="s">
        <v>23</v>
      </c>
      <c r="J906" t="s">
        <v>37</v>
      </c>
      <c r="K906" t="s">
        <v>38</v>
      </c>
      <c r="L906" t="s">
        <v>39</v>
      </c>
      <c r="M906" t="s">
        <v>40</v>
      </c>
      <c r="N906" t="s">
        <v>51</v>
      </c>
      <c r="O906" t="s">
        <v>1369</v>
      </c>
      <c r="P906">
        <v>64.959999999999994</v>
      </c>
      <c r="Q906">
        <v>2</v>
      </c>
      <c r="R906">
        <v>0</v>
      </c>
      <c r="S906">
        <v>2.6</v>
      </c>
    </row>
    <row r="907" spans="1:19" x14ac:dyDescent="0.3">
      <c r="A907" s="1">
        <v>41521</v>
      </c>
      <c r="B907">
        <v>2013</v>
      </c>
      <c r="C907" t="s">
        <v>69</v>
      </c>
      <c r="D907" t="s">
        <v>1682</v>
      </c>
      <c r="E907">
        <v>4</v>
      </c>
      <c r="F907" t="s">
        <v>45</v>
      </c>
      <c r="G907" t="s">
        <v>551</v>
      </c>
      <c r="H907" t="s">
        <v>22</v>
      </c>
      <c r="I907" t="s">
        <v>23</v>
      </c>
      <c r="J907" t="s">
        <v>37</v>
      </c>
      <c r="K907" t="s">
        <v>38</v>
      </c>
      <c r="L907" t="s">
        <v>39</v>
      </c>
      <c r="M907" t="s">
        <v>40</v>
      </c>
      <c r="N907" t="s">
        <v>74</v>
      </c>
      <c r="O907" t="s">
        <v>1689</v>
      </c>
      <c r="P907">
        <v>12.96</v>
      </c>
      <c r="Q907">
        <v>2</v>
      </c>
      <c r="R907">
        <v>0</v>
      </c>
      <c r="S907">
        <v>6.22</v>
      </c>
    </row>
    <row r="908" spans="1:19" x14ac:dyDescent="0.3">
      <c r="A908" t="s">
        <v>346</v>
      </c>
      <c r="B908">
        <v>2014</v>
      </c>
      <c r="C908" t="s">
        <v>76</v>
      </c>
      <c r="D908" s="1">
        <v>42095</v>
      </c>
      <c r="E908">
        <v>4</v>
      </c>
      <c r="F908" t="s">
        <v>45</v>
      </c>
      <c r="G908" t="s">
        <v>186</v>
      </c>
      <c r="H908" t="s">
        <v>22</v>
      </c>
      <c r="I908" t="s">
        <v>23</v>
      </c>
      <c r="J908" t="s">
        <v>208</v>
      </c>
      <c r="K908" t="s">
        <v>209</v>
      </c>
      <c r="L908" t="s">
        <v>121</v>
      </c>
      <c r="M908" t="s">
        <v>27</v>
      </c>
      <c r="N908" t="s">
        <v>28</v>
      </c>
      <c r="O908" t="s">
        <v>1690</v>
      </c>
      <c r="P908">
        <v>323.14</v>
      </c>
      <c r="Q908">
        <v>4</v>
      </c>
      <c r="R908">
        <v>0.2</v>
      </c>
      <c r="S908">
        <v>12.12</v>
      </c>
    </row>
    <row r="909" spans="1:19" x14ac:dyDescent="0.3">
      <c r="A909" t="s">
        <v>346</v>
      </c>
      <c r="B909">
        <v>2014</v>
      </c>
      <c r="C909" t="s">
        <v>76</v>
      </c>
      <c r="D909" s="1">
        <v>42095</v>
      </c>
      <c r="E909">
        <v>4</v>
      </c>
      <c r="F909" t="s">
        <v>45</v>
      </c>
      <c r="G909" t="s">
        <v>186</v>
      </c>
      <c r="H909" t="s">
        <v>22</v>
      </c>
      <c r="I909" t="s">
        <v>23</v>
      </c>
      <c r="J909" t="s">
        <v>208</v>
      </c>
      <c r="K909" t="s">
        <v>209</v>
      </c>
      <c r="L909" t="s">
        <v>121</v>
      </c>
      <c r="M909" t="s">
        <v>59</v>
      </c>
      <c r="N909" t="s">
        <v>60</v>
      </c>
      <c r="O909" t="s">
        <v>1691</v>
      </c>
      <c r="P909">
        <v>90.93</v>
      </c>
      <c r="Q909">
        <v>7</v>
      </c>
      <c r="R909">
        <v>0</v>
      </c>
      <c r="S909">
        <v>2.73</v>
      </c>
    </row>
    <row r="910" spans="1:19" x14ac:dyDescent="0.3">
      <c r="A910" t="s">
        <v>346</v>
      </c>
      <c r="B910">
        <v>2014</v>
      </c>
      <c r="C910" t="s">
        <v>76</v>
      </c>
      <c r="D910" s="1">
        <v>42095</v>
      </c>
      <c r="E910">
        <v>4</v>
      </c>
      <c r="F910" t="s">
        <v>45</v>
      </c>
      <c r="G910" t="s">
        <v>186</v>
      </c>
      <c r="H910" t="s">
        <v>22</v>
      </c>
      <c r="I910" t="s">
        <v>23</v>
      </c>
      <c r="J910" t="s">
        <v>208</v>
      </c>
      <c r="K910" t="s">
        <v>209</v>
      </c>
      <c r="L910" t="s">
        <v>121</v>
      </c>
      <c r="M910" t="s">
        <v>40</v>
      </c>
      <c r="N910" t="s">
        <v>62</v>
      </c>
      <c r="O910" t="s">
        <v>1692</v>
      </c>
      <c r="P910">
        <v>52.78</v>
      </c>
      <c r="Q910">
        <v>3</v>
      </c>
      <c r="R910">
        <v>0.2</v>
      </c>
      <c r="S910">
        <v>19.79</v>
      </c>
    </row>
    <row r="911" spans="1:19" x14ac:dyDescent="0.3">
      <c r="A911" s="1">
        <v>41707</v>
      </c>
      <c r="B911">
        <v>2014</v>
      </c>
      <c r="C911" t="s">
        <v>124</v>
      </c>
      <c r="D911" s="1">
        <v>41860</v>
      </c>
      <c r="E911">
        <v>5</v>
      </c>
      <c r="F911" t="s">
        <v>45</v>
      </c>
      <c r="G911" t="s">
        <v>1693</v>
      </c>
      <c r="H911" t="s">
        <v>84</v>
      </c>
      <c r="I911" t="s">
        <v>23</v>
      </c>
      <c r="J911" t="s">
        <v>249</v>
      </c>
      <c r="K911" t="s">
        <v>188</v>
      </c>
      <c r="L911" t="s">
        <v>87</v>
      </c>
      <c r="M911" t="s">
        <v>59</v>
      </c>
      <c r="N911" t="s">
        <v>60</v>
      </c>
      <c r="O911" t="s">
        <v>1694</v>
      </c>
      <c r="P911">
        <v>1199.8</v>
      </c>
      <c r="Q911">
        <v>4</v>
      </c>
      <c r="R911">
        <v>0</v>
      </c>
      <c r="S911">
        <v>323.95</v>
      </c>
    </row>
    <row r="912" spans="1:19" x14ac:dyDescent="0.3">
      <c r="A912" s="1">
        <v>41707</v>
      </c>
      <c r="B912">
        <v>2014</v>
      </c>
      <c r="C912" t="s">
        <v>124</v>
      </c>
      <c r="D912" s="1">
        <v>41860</v>
      </c>
      <c r="E912">
        <v>5</v>
      </c>
      <c r="F912" t="s">
        <v>45</v>
      </c>
      <c r="G912" t="s">
        <v>1693</v>
      </c>
      <c r="H912" t="s">
        <v>84</v>
      </c>
      <c r="I912" t="s">
        <v>23</v>
      </c>
      <c r="J912" t="s">
        <v>249</v>
      </c>
      <c r="K912" t="s">
        <v>188</v>
      </c>
      <c r="L912" t="s">
        <v>87</v>
      </c>
      <c r="M912" t="s">
        <v>59</v>
      </c>
      <c r="N912" t="s">
        <v>133</v>
      </c>
      <c r="O912" t="s">
        <v>1695</v>
      </c>
      <c r="P912">
        <v>1928.78</v>
      </c>
      <c r="Q912">
        <v>7</v>
      </c>
      <c r="R912">
        <v>0</v>
      </c>
      <c r="S912">
        <v>829.38</v>
      </c>
    </row>
    <row r="913" spans="1:19" x14ac:dyDescent="0.3">
      <c r="A913" s="1">
        <v>41707</v>
      </c>
      <c r="B913">
        <v>2014</v>
      </c>
      <c r="C913" t="s">
        <v>124</v>
      </c>
      <c r="D913" s="1">
        <v>41860</v>
      </c>
      <c r="E913">
        <v>5</v>
      </c>
      <c r="F913" t="s">
        <v>45</v>
      </c>
      <c r="G913" t="s">
        <v>1693</v>
      </c>
      <c r="H913" t="s">
        <v>84</v>
      </c>
      <c r="I913" t="s">
        <v>23</v>
      </c>
      <c r="J913" t="s">
        <v>249</v>
      </c>
      <c r="K913" t="s">
        <v>188</v>
      </c>
      <c r="L913" t="s">
        <v>87</v>
      </c>
      <c r="M913" t="s">
        <v>40</v>
      </c>
      <c r="N913" t="s">
        <v>51</v>
      </c>
      <c r="O913" t="s">
        <v>1696</v>
      </c>
      <c r="P913">
        <v>352.38</v>
      </c>
      <c r="Q913">
        <v>2</v>
      </c>
      <c r="R913">
        <v>0</v>
      </c>
      <c r="S913">
        <v>81.05</v>
      </c>
    </row>
    <row r="914" spans="1:19" x14ac:dyDescent="0.3">
      <c r="A914" t="s">
        <v>433</v>
      </c>
      <c r="B914">
        <v>2012</v>
      </c>
      <c r="C914" t="s">
        <v>96</v>
      </c>
      <c r="D914" s="1">
        <v>41096</v>
      </c>
      <c r="E914">
        <v>7</v>
      </c>
      <c r="F914" t="s">
        <v>45</v>
      </c>
      <c r="G914" t="s">
        <v>1697</v>
      </c>
      <c r="H914" t="s">
        <v>84</v>
      </c>
      <c r="I914" t="s">
        <v>23</v>
      </c>
      <c r="J914" t="s">
        <v>1698</v>
      </c>
      <c r="K914" t="s">
        <v>507</v>
      </c>
      <c r="L914" t="s">
        <v>121</v>
      </c>
      <c r="M914" t="s">
        <v>27</v>
      </c>
      <c r="N914" t="s">
        <v>55</v>
      </c>
      <c r="O914" t="s">
        <v>871</v>
      </c>
      <c r="P914">
        <v>22.2</v>
      </c>
      <c r="Q914">
        <v>6</v>
      </c>
      <c r="R914">
        <v>0</v>
      </c>
      <c r="S914">
        <v>9.1</v>
      </c>
    </row>
    <row r="915" spans="1:19" x14ac:dyDescent="0.3">
      <c r="A915" t="s">
        <v>1098</v>
      </c>
      <c r="B915">
        <v>2014</v>
      </c>
      <c r="C915" t="s">
        <v>19</v>
      </c>
      <c r="D915" t="s">
        <v>1699</v>
      </c>
      <c r="E915">
        <v>2</v>
      </c>
      <c r="F915" t="s">
        <v>151</v>
      </c>
      <c r="G915" t="s">
        <v>1594</v>
      </c>
      <c r="H915" t="s">
        <v>36</v>
      </c>
      <c r="I915" t="s">
        <v>23</v>
      </c>
      <c r="J915" t="s">
        <v>1561</v>
      </c>
      <c r="K915" t="s">
        <v>93</v>
      </c>
      <c r="L915" t="s">
        <v>87</v>
      </c>
      <c r="M915" t="s">
        <v>27</v>
      </c>
      <c r="N915" t="s">
        <v>55</v>
      </c>
      <c r="O915" t="s">
        <v>704</v>
      </c>
      <c r="P915">
        <v>46.94</v>
      </c>
      <c r="Q915">
        <v>1</v>
      </c>
      <c r="R915">
        <v>0</v>
      </c>
      <c r="S915">
        <v>19.25</v>
      </c>
    </row>
    <row r="916" spans="1:19" x14ac:dyDescent="0.3">
      <c r="A916" t="s">
        <v>1098</v>
      </c>
      <c r="B916">
        <v>2014</v>
      </c>
      <c r="C916" t="s">
        <v>19</v>
      </c>
      <c r="D916" t="s">
        <v>1699</v>
      </c>
      <c r="E916">
        <v>2</v>
      </c>
      <c r="F916" t="s">
        <v>151</v>
      </c>
      <c r="G916" t="s">
        <v>1594</v>
      </c>
      <c r="H916" t="s">
        <v>36</v>
      </c>
      <c r="I916" t="s">
        <v>23</v>
      </c>
      <c r="J916" t="s">
        <v>1561</v>
      </c>
      <c r="K916" t="s">
        <v>93</v>
      </c>
      <c r="L916" t="s">
        <v>87</v>
      </c>
      <c r="M916" t="s">
        <v>59</v>
      </c>
      <c r="N916" t="s">
        <v>133</v>
      </c>
      <c r="O916" t="s">
        <v>999</v>
      </c>
      <c r="P916">
        <v>143.72999999999999</v>
      </c>
      <c r="Q916">
        <v>9</v>
      </c>
      <c r="R916">
        <v>0</v>
      </c>
      <c r="S916">
        <v>56.05</v>
      </c>
    </row>
    <row r="917" spans="1:19" x14ac:dyDescent="0.3">
      <c r="A917" t="s">
        <v>1700</v>
      </c>
      <c r="B917">
        <v>2011</v>
      </c>
      <c r="C917" t="s">
        <v>33</v>
      </c>
      <c r="D917" t="s">
        <v>1377</v>
      </c>
      <c r="E917">
        <v>6</v>
      </c>
      <c r="F917" t="s">
        <v>45</v>
      </c>
      <c r="G917" t="s">
        <v>702</v>
      </c>
      <c r="H917" t="s">
        <v>36</v>
      </c>
      <c r="I917" t="s">
        <v>23</v>
      </c>
      <c r="J917" t="s">
        <v>463</v>
      </c>
      <c r="K917" t="s">
        <v>86</v>
      </c>
      <c r="L917" t="s">
        <v>87</v>
      </c>
      <c r="M917" t="s">
        <v>27</v>
      </c>
      <c r="N917" t="s">
        <v>49</v>
      </c>
      <c r="O917" t="s">
        <v>1701</v>
      </c>
      <c r="P917">
        <v>99.92</v>
      </c>
      <c r="Q917">
        <v>2</v>
      </c>
      <c r="R917">
        <v>0.3</v>
      </c>
      <c r="S917">
        <v>-18.559999999999999</v>
      </c>
    </row>
    <row r="918" spans="1:19" x14ac:dyDescent="0.3">
      <c r="A918" t="s">
        <v>1700</v>
      </c>
      <c r="B918">
        <v>2011</v>
      </c>
      <c r="C918" t="s">
        <v>33</v>
      </c>
      <c r="D918" t="s">
        <v>1377</v>
      </c>
      <c r="E918">
        <v>6</v>
      </c>
      <c r="F918" t="s">
        <v>45</v>
      </c>
      <c r="G918" t="s">
        <v>702</v>
      </c>
      <c r="H918" t="s">
        <v>36</v>
      </c>
      <c r="I918" t="s">
        <v>23</v>
      </c>
      <c r="J918" t="s">
        <v>463</v>
      </c>
      <c r="K918" t="s">
        <v>86</v>
      </c>
      <c r="L918" t="s">
        <v>87</v>
      </c>
      <c r="M918" t="s">
        <v>27</v>
      </c>
      <c r="N918" t="s">
        <v>30</v>
      </c>
      <c r="O918" t="s">
        <v>1131</v>
      </c>
      <c r="P918">
        <v>797.94</v>
      </c>
      <c r="Q918">
        <v>4</v>
      </c>
      <c r="R918">
        <v>0.3</v>
      </c>
      <c r="S918">
        <v>-57</v>
      </c>
    </row>
    <row r="919" spans="1:19" x14ac:dyDescent="0.3">
      <c r="A919" t="s">
        <v>1700</v>
      </c>
      <c r="B919">
        <v>2011</v>
      </c>
      <c r="C919" t="s">
        <v>33</v>
      </c>
      <c r="D919" t="s">
        <v>1377</v>
      </c>
      <c r="E919">
        <v>6</v>
      </c>
      <c r="F919" t="s">
        <v>45</v>
      </c>
      <c r="G919" t="s">
        <v>702</v>
      </c>
      <c r="H919" t="s">
        <v>36</v>
      </c>
      <c r="I919" t="s">
        <v>23</v>
      </c>
      <c r="J919" t="s">
        <v>463</v>
      </c>
      <c r="K919" t="s">
        <v>86</v>
      </c>
      <c r="L919" t="s">
        <v>87</v>
      </c>
      <c r="M919" t="s">
        <v>40</v>
      </c>
      <c r="N919" t="s">
        <v>62</v>
      </c>
      <c r="O919" t="s">
        <v>714</v>
      </c>
      <c r="P919">
        <v>8.57</v>
      </c>
      <c r="Q919">
        <v>3</v>
      </c>
      <c r="R919">
        <v>0.8</v>
      </c>
      <c r="S919">
        <v>-14.57</v>
      </c>
    </row>
    <row r="920" spans="1:19" x14ac:dyDescent="0.3">
      <c r="A920" s="1">
        <v>41428</v>
      </c>
      <c r="B920">
        <v>2013</v>
      </c>
      <c r="C920" t="s">
        <v>177</v>
      </c>
      <c r="D920" s="1">
        <v>41611</v>
      </c>
      <c r="E920">
        <v>6</v>
      </c>
      <c r="F920" t="s">
        <v>45</v>
      </c>
      <c r="G920" t="s">
        <v>1702</v>
      </c>
      <c r="H920" t="s">
        <v>36</v>
      </c>
      <c r="I920" t="s">
        <v>23</v>
      </c>
      <c r="J920" t="s">
        <v>552</v>
      </c>
      <c r="K920" t="s">
        <v>86</v>
      </c>
      <c r="L920" t="s">
        <v>87</v>
      </c>
      <c r="M920" t="s">
        <v>40</v>
      </c>
      <c r="N920" t="s">
        <v>141</v>
      </c>
      <c r="O920" t="s">
        <v>1508</v>
      </c>
      <c r="P920">
        <v>149.35</v>
      </c>
      <c r="Q920">
        <v>3</v>
      </c>
      <c r="R920">
        <v>0.2</v>
      </c>
      <c r="S920">
        <v>50.41</v>
      </c>
    </row>
    <row r="921" spans="1:19" x14ac:dyDescent="0.3">
      <c r="A921" s="1">
        <v>41428</v>
      </c>
      <c r="B921">
        <v>2013</v>
      </c>
      <c r="C921" t="s">
        <v>177</v>
      </c>
      <c r="D921" s="1">
        <v>41611</v>
      </c>
      <c r="E921">
        <v>6</v>
      </c>
      <c r="F921" t="s">
        <v>45</v>
      </c>
      <c r="G921" t="s">
        <v>1702</v>
      </c>
      <c r="H921" t="s">
        <v>36</v>
      </c>
      <c r="I921" t="s">
        <v>23</v>
      </c>
      <c r="J921" t="s">
        <v>552</v>
      </c>
      <c r="K921" t="s">
        <v>86</v>
      </c>
      <c r="L921" t="s">
        <v>87</v>
      </c>
      <c r="M921" t="s">
        <v>40</v>
      </c>
      <c r="N921" t="s">
        <v>51</v>
      </c>
      <c r="O921" t="s">
        <v>1703</v>
      </c>
      <c r="P921">
        <v>12.99</v>
      </c>
      <c r="Q921">
        <v>1</v>
      </c>
      <c r="R921">
        <v>0.2</v>
      </c>
      <c r="S921">
        <v>-0.81</v>
      </c>
    </row>
    <row r="922" spans="1:19" x14ac:dyDescent="0.3">
      <c r="A922" s="1">
        <v>40675</v>
      </c>
      <c r="B922">
        <v>2011</v>
      </c>
      <c r="C922" t="s">
        <v>76</v>
      </c>
      <c r="D922" s="1">
        <v>40889</v>
      </c>
      <c r="E922">
        <v>7</v>
      </c>
      <c r="F922" t="s">
        <v>45</v>
      </c>
      <c r="G922" t="s">
        <v>644</v>
      </c>
      <c r="H922" t="s">
        <v>22</v>
      </c>
      <c r="I922" t="s">
        <v>23</v>
      </c>
      <c r="J922" t="s">
        <v>1704</v>
      </c>
      <c r="K922" t="s">
        <v>241</v>
      </c>
      <c r="L922" t="s">
        <v>26</v>
      </c>
      <c r="M922" t="s">
        <v>40</v>
      </c>
      <c r="N922" t="s">
        <v>51</v>
      </c>
      <c r="O922" t="s">
        <v>1382</v>
      </c>
      <c r="P922">
        <v>24.56</v>
      </c>
      <c r="Q922">
        <v>2</v>
      </c>
      <c r="R922">
        <v>0</v>
      </c>
      <c r="S922">
        <v>6.88</v>
      </c>
    </row>
    <row r="923" spans="1:19" x14ac:dyDescent="0.3">
      <c r="A923" s="1">
        <v>41217</v>
      </c>
      <c r="B923">
        <v>2012</v>
      </c>
      <c r="C923" t="s">
        <v>69</v>
      </c>
      <c r="D923" t="s">
        <v>1705</v>
      </c>
      <c r="E923">
        <v>4</v>
      </c>
      <c r="F923" t="s">
        <v>45</v>
      </c>
      <c r="G923" t="s">
        <v>1706</v>
      </c>
      <c r="H923" t="s">
        <v>22</v>
      </c>
      <c r="I923" t="s">
        <v>23</v>
      </c>
      <c r="J923" t="s">
        <v>208</v>
      </c>
      <c r="K923" t="s">
        <v>209</v>
      </c>
      <c r="L923" t="s">
        <v>121</v>
      </c>
      <c r="M923" t="s">
        <v>59</v>
      </c>
      <c r="N923" t="s">
        <v>133</v>
      </c>
      <c r="O923" t="s">
        <v>1707</v>
      </c>
      <c r="P923">
        <v>85.14</v>
      </c>
      <c r="Q923">
        <v>3</v>
      </c>
      <c r="R923">
        <v>0</v>
      </c>
      <c r="S923">
        <v>34.909999999999997</v>
      </c>
    </row>
    <row r="924" spans="1:19" x14ac:dyDescent="0.3">
      <c r="A924" s="1">
        <v>41217</v>
      </c>
      <c r="B924">
        <v>2012</v>
      </c>
      <c r="C924" t="s">
        <v>69</v>
      </c>
      <c r="D924" t="s">
        <v>1705</v>
      </c>
      <c r="E924">
        <v>4</v>
      </c>
      <c r="F924" t="s">
        <v>45</v>
      </c>
      <c r="G924" t="s">
        <v>1706</v>
      </c>
      <c r="H924" t="s">
        <v>22</v>
      </c>
      <c r="I924" t="s">
        <v>23</v>
      </c>
      <c r="J924" t="s">
        <v>208</v>
      </c>
      <c r="K924" t="s">
        <v>209</v>
      </c>
      <c r="L924" t="s">
        <v>121</v>
      </c>
      <c r="M924" t="s">
        <v>59</v>
      </c>
      <c r="N924" t="s">
        <v>60</v>
      </c>
      <c r="O924" t="s">
        <v>1708</v>
      </c>
      <c r="P924">
        <v>21.99</v>
      </c>
      <c r="Q924">
        <v>1</v>
      </c>
      <c r="R924">
        <v>0</v>
      </c>
      <c r="S924">
        <v>10.56</v>
      </c>
    </row>
    <row r="925" spans="1:19" x14ac:dyDescent="0.3">
      <c r="A925" s="1">
        <v>41217</v>
      </c>
      <c r="B925">
        <v>2012</v>
      </c>
      <c r="C925" t="s">
        <v>69</v>
      </c>
      <c r="D925" t="s">
        <v>1705</v>
      </c>
      <c r="E925">
        <v>4</v>
      </c>
      <c r="F925" t="s">
        <v>45</v>
      </c>
      <c r="G925" t="s">
        <v>1706</v>
      </c>
      <c r="H925" t="s">
        <v>22</v>
      </c>
      <c r="I925" t="s">
        <v>23</v>
      </c>
      <c r="J925" t="s">
        <v>208</v>
      </c>
      <c r="K925" t="s">
        <v>209</v>
      </c>
      <c r="L925" t="s">
        <v>121</v>
      </c>
      <c r="M925" t="s">
        <v>40</v>
      </c>
      <c r="N925" t="s">
        <v>64</v>
      </c>
      <c r="O925" t="s">
        <v>1709</v>
      </c>
      <c r="P925">
        <v>406.6</v>
      </c>
      <c r="Q925">
        <v>5</v>
      </c>
      <c r="R925">
        <v>0</v>
      </c>
      <c r="S925">
        <v>113.85</v>
      </c>
    </row>
    <row r="926" spans="1:19" x14ac:dyDescent="0.3">
      <c r="A926" t="s">
        <v>1562</v>
      </c>
      <c r="B926">
        <v>2013</v>
      </c>
      <c r="C926" t="s">
        <v>124</v>
      </c>
      <c r="D926" t="s">
        <v>1710</v>
      </c>
      <c r="E926">
        <v>5</v>
      </c>
      <c r="F926" t="s">
        <v>45</v>
      </c>
      <c r="G926" t="s">
        <v>1711</v>
      </c>
      <c r="H926" t="s">
        <v>36</v>
      </c>
      <c r="I926" t="s">
        <v>23</v>
      </c>
      <c r="J926" t="s">
        <v>208</v>
      </c>
      <c r="K926" t="s">
        <v>209</v>
      </c>
      <c r="L926" t="s">
        <v>121</v>
      </c>
      <c r="M926" t="s">
        <v>40</v>
      </c>
      <c r="N926" t="s">
        <v>62</v>
      </c>
      <c r="O926" t="s">
        <v>366</v>
      </c>
      <c r="P926">
        <v>841.57</v>
      </c>
      <c r="Q926">
        <v>2</v>
      </c>
      <c r="R926">
        <v>0.2</v>
      </c>
      <c r="S926">
        <v>294.55</v>
      </c>
    </row>
    <row r="927" spans="1:19" x14ac:dyDescent="0.3">
      <c r="A927" t="s">
        <v>596</v>
      </c>
      <c r="B927">
        <v>2011</v>
      </c>
      <c r="C927" t="s">
        <v>124</v>
      </c>
      <c r="D927" t="s">
        <v>1712</v>
      </c>
      <c r="E927">
        <v>3</v>
      </c>
      <c r="F927" t="s">
        <v>151</v>
      </c>
      <c r="G927" t="s">
        <v>1713</v>
      </c>
      <c r="H927" t="s">
        <v>22</v>
      </c>
      <c r="I927" t="s">
        <v>23</v>
      </c>
      <c r="J927" t="s">
        <v>119</v>
      </c>
      <c r="K927" t="s">
        <v>120</v>
      </c>
      <c r="L927" t="s">
        <v>121</v>
      </c>
      <c r="M927" t="s">
        <v>40</v>
      </c>
      <c r="N927" t="s">
        <v>74</v>
      </c>
      <c r="O927" t="s">
        <v>1714</v>
      </c>
      <c r="P927">
        <v>15.55</v>
      </c>
      <c r="Q927">
        <v>3</v>
      </c>
      <c r="R927">
        <v>0.2</v>
      </c>
      <c r="S927">
        <v>5.44</v>
      </c>
    </row>
    <row r="928" spans="1:19" x14ac:dyDescent="0.3">
      <c r="A928" t="s">
        <v>596</v>
      </c>
      <c r="B928">
        <v>2011</v>
      </c>
      <c r="C928" t="s">
        <v>124</v>
      </c>
      <c r="D928" t="s">
        <v>1712</v>
      </c>
      <c r="E928">
        <v>3</v>
      </c>
      <c r="F928" t="s">
        <v>151</v>
      </c>
      <c r="G928" t="s">
        <v>1713</v>
      </c>
      <c r="H928" t="s">
        <v>22</v>
      </c>
      <c r="I928" t="s">
        <v>23</v>
      </c>
      <c r="J928" t="s">
        <v>119</v>
      </c>
      <c r="K928" t="s">
        <v>120</v>
      </c>
      <c r="L928" t="s">
        <v>121</v>
      </c>
      <c r="M928" t="s">
        <v>59</v>
      </c>
      <c r="N928" t="s">
        <v>133</v>
      </c>
      <c r="O928" t="s">
        <v>1715</v>
      </c>
      <c r="P928">
        <v>252</v>
      </c>
      <c r="Q928">
        <v>5</v>
      </c>
      <c r="R928">
        <v>0.2</v>
      </c>
      <c r="S928">
        <v>53.55</v>
      </c>
    </row>
    <row r="929" spans="1:19" x14ac:dyDescent="0.3">
      <c r="A929" s="1">
        <v>41039</v>
      </c>
      <c r="B929">
        <v>2012</v>
      </c>
      <c r="C929" t="s">
        <v>43</v>
      </c>
      <c r="D929" s="1">
        <v>41162</v>
      </c>
      <c r="E929">
        <v>4</v>
      </c>
      <c r="F929" t="s">
        <v>45</v>
      </c>
      <c r="G929" t="s">
        <v>1716</v>
      </c>
      <c r="H929" t="s">
        <v>84</v>
      </c>
      <c r="I929" t="s">
        <v>23</v>
      </c>
      <c r="J929" t="s">
        <v>240</v>
      </c>
      <c r="K929" t="s">
        <v>241</v>
      </c>
      <c r="L929" t="s">
        <v>26</v>
      </c>
      <c r="M929" t="s">
        <v>40</v>
      </c>
      <c r="N929" t="s">
        <v>57</v>
      </c>
      <c r="O929" t="s">
        <v>843</v>
      </c>
      <c r="P929">
        <v>46.2</v>
      </c>
      <c r="Q929">
        <v>4</v>
      </c>
      <c r="R929">
        <v>0</v>
      </c>
      <c r="S929">
        <v>12.94</v>
      </c>
    </row>
    <row r="930" spans="1:19" x14ac:dyDescent="0.3">
      <c r="A930" s="1">
        <v>41039</v>
      </c>
      <c r="B930">
        <v>2012</v>
      </c>
      <c r="C930" t="s">
        <v>43</v>
      </c>
      <c r="D930" s="1">
        <v>41162</v>
      </c>
      <c r="E930">
        <v>4</v>
      </c>
      <c r="F930" t="s">
        <v>45</v>
      </c>
      <c r="G930" t="s">
        <v>1716</v>
      </c>
      <c r="H930" t="s">
        <v>84</v>
      </c>
      <c r="I930" t="s">
        <v>23</v>
      </c>
      <c r="J930" t="s">
        <v>240</v>
      </c>
      <c r="K930" t="s">
        <v>241</v>
      </c>
      <c r="L930" t="s">
        <v>26</v>
      </c>
      <c r="M930" t="s">
        <v>40</v>
      </c>
      <c r="N930" t="s">
        <v>64</v>
      </c>
      <c r="O930" t="s">
        <v>854</v>
      </c>
      <c r="P930">
        <v>28.84</v>
      </c>
      <c r="Q930">
        <v>2</v>
      </c>
      <c r="R930">
        <v>0</v>
      </c>
      <c r="S930">
        <v>9.52</v>
      </c>
    </row>
    <row r="931" spans="1:19" x14ac:dyDescent="0.3">
      <c r="A931" t="s">
        <v>1717</v>
      </c>
      <c r="B931">
        <v>2014</v>
      </c>
      <c r="C931" t="s">
        <v>69</v>
      </c>
      <c r="D931" t="s">
        <v>726</v>
      </c>
      <c r="E931">
        <v>3</v>
      </c>
      <c r="F931" t="s">
        <v>151</v>
      </c>
      <c r="G931" t="s">
        <v>1384</v>
      </c>
      <c r="H931" t="s">
        <v>22</v>
      </c>
      <c r="I931" t="s">
        <v>23</v>
      </c>
      <c r="J931" t="s">
        <v>1718</v>
      </c>
      <c r="K931" t="s">
        <v>357</v>
      </c>
      <c r="L931" t="s">
        <v>121</v>
      </c>
      <c r="M931" t="s">
        <v>40</v>
      </c>
      <c r="N931" t="s">
        <v>57</v>
      </c>
      <c r="O931" t="s">
        <v>1180</v>
      </c>
      <c r="P931">
        <v>14.59</v>
      </c>
      <c r="Q931">
        <v>3</v>
      </c>
      <c r="R931">
        <v>0.2</v>
      </c>
      <c r="S931">
        <v>2.5499999999999998</v>
      </c>
    </row>
    <row r="932" spans="1:19" x14ac:dyDescent="0.3">
      <c r="A932" t="s">
        <v>1717</v>
      </c>
      <c r="B932">
        <v>2014</v>
      </c>
      <c r="C932" t="s">
        <v>69</v>
      </c>
      <c r="D932" t="s">
        <v>726</v>
      </c>
      <c r="E932">
        <v>3</v>
      </c>
      <c r="F932" t="s">
        <v>151</v>
      </c>
      <c r="G932" t="s">
        <v>1384</v>
      </c>
      <c r="H932" t="s">
        <v>22</v>
      </c>
      <c r="I932" t="s">
        <v>23</v>
      </c>
      <c r="J932" t="s">
        <v>1718</v>
      </c>
      <c r="K932" t="s">
        <v>357</v>
      </c>
      <c r="L932" t="s">
        <v>121</v>
      </c>
      <c r="M932" t="s">
        <v>40</v>
      </c>
      <c r="N932" t="s">
        <v>57</v>
      </c>
      <c r="O932" t="s">
        <v>1719</v>
      </c>
      <c r="P932">
        <v>89.86</v>
      </c>
      <c r="Q932">
        <v>3</v>
      </c>
      <c r="R932">
        <v>0.2</v>
      </c>
      <c r="S932">
        <v>21.34</v>
      </c>
    </row>
    <row r="933" spans="1:19" x14ac:dyDescent="0.3">
      <c r="A933" t="s">
        <v>1717</v>
      </c>
      <c r="B933">
        <v>2014</v>
      </c>
      <c r="C933" t="s">
        <v>69</v>
      </c>
      <c r="D933" t="s">
        <v>726</v>
      </c>
      <c r="E933">
        <v>3</v>
      </c>
      <c r="F933" t="s">
        <v>151</v>
      </c>
      <c r="G933" t="s">
        <v>1384</v>
      </c>
      <c r="H933" t="s">
        <v>22</v>
      </c>
      <c r="I933" t="s">
        <v>23</v>
      </c>
      <c r="J933" t="s">
        <v>1718</v>
      </c>
      <c r="K933" t="s">
        <v>357</v>
      </c>
      <c r="L933" t="s">
        <v>121</v>
      </c>
      <c r="M933" t="s">
        <v>40</v>
      </c>
      <c r="N933" t="s">
        <v>74</v>
      </c>
      <c r="O933" t="s">
        <v>1453</v>
      </c>
      <c r="P933">
        <v>13.87</v>
      </c>
      <c r="Q933">
        <v>3</v>
      </c>
      <c r="R933">
        <v>0.2</v>
      </c>
      <c r="S933">
        <v>5.03</v>
      </c>
    </row>
    <row r="934" spans="1:19" x14ac:dyDescent="0.3">
      <c r="A934" s="1">
        <v>41707</v>
      </c>
      <c r="B934">
        <v>2014</v>
      </c>
      <c r="C934" t="s">
        <v>124</v>
      </c>
      <c r="D934" s="1">
        <v>41829</v>
      </c>
      <c r="E934">
        <v>4</v>
      </c>
      <c r="F934" t="s">
        <v>45</v>
      </c>
      <c r="G934" t="s">
        <v>1720</v>
      </c>
      <c r="H934" t="s">
        <v>22</v>
      </c>
      <c r="I934" t="s">
        <v>23</v>
      </c>
      <c r="J934" t="s">
        <v>119</v>
      </c>
      <c r="K934" t="s">
        <v>120</v>
      </c>
      <c r="L934" t="s">
        <v>121</v>
      </c>
      <c r="M934" t="s">
        <v>40</v>
      </c>
      <c r="N934" t="s">
        <v>74</v>
      </c>
      <c r="O934" t="s">
        <v>1721</v>
      </c>
      <c r="P934">
        <v>12.19</v>
      </c>
      <c r="Q934">
        <v>3</v>
      </c>
      <c r="R934">
        <v>0.2</v>
      </c>
      <c r="S934">
        <v>4.1100000000000003</v>
      </c>
    </row>
    <row r="935" spans="1:19" x14ac:dyDescent="0.3">
      <c r="A935" t="s">
        <v>190</v>
      </c>
      <c r="B935">
        <v>2013</v>
      </c>
      <c r="C935" t="s">
        <v>33</v>
      </c>
      <c r="D935" t="s">
        <v>1722</v>
      </c>
      <c r="E935">
        <v>4</v>
      </c>
      <c r="F935" t="s">
        <v>45</v>
      </c>
      <c r="G935" t="s">
        <v>1723</v>
      </c>
      <c r="H935" t="s">
        <v>84</v>
      </c>
      <c r="I935" t="s">
        <v>23</v>
      </c>
      <c r="J935" t="s">
        <v>119</v>
      </c>
      <c r="K935" t="s">
        <v>120</v>
      </c>
      <c r="L935" t="s">
        <v>121</v>
      </c>
      <c r="M935" t="s">
        <v>40</v>
      </c>
      <c r="N935" t="s">
        <v>74</v>
      </c>
      <c r="O935" t="s">
        <v>1724</v>
      </c>
      <c r="P935">
        <v>45.06</v>
      </c>
      <c r="Q935">
        <v>8</v>
      </c>
      <c r="R935">
        <v>0.2</v>
      </c>
      <c r="S935">
        <v>15.21</v>
      </c>
    </row>
    <row r="936" spans="1:19" x14ac:dyDescent="0.3">
      <c r="A936" t="s">
        <v>190</v>
      </c>
      <c r="B936">
        <v>2013</v>
      </c>
      <c r="C936" t="s">
        <v>33</v>
      </c>
      <c r="D936" t="s">
        <v>1722</v>
      </c>
      <c r="E936">
        <v>4</v>
      </c>
      <c r="F936" t="s">
        <v>45</v>
      </c>
      <c r="G936" t="s">
        <v>1723</v>
      </c>
      <c r="H936" t="s">
        <v>84</v>
      </c>
      <c r="I936" t="s">
        <v>23</v>
      </c>
      <c r="J936" t="s">
        <v>119</v>
      </c>
      <c r="K936" t="s">
        <v>120</v>
      </c>
      <c r="L936" t="s">
        <v>121</v>
      </c>
      <c r="M936" t="s">
        <v>40</v>
      </c>
      <c r="N936" t="s">
        <v>62</v>
      </c>
      <c r="O936" t="s">
        <v>1725</v>
      </c>
      <c r="P936">
        <v>29.72</v>
      </c>
      <c r="Q936">
        <v>6</v>
      </c>
      <c r="R936">
        <v>0.7</v>
      </c>
      <c r="S936">
        <v>-21.79</v>
      </c>
    </row>
    <row r="937" spans="1:19" x14ac:dyDescent="0.3">
      <c r="A937" t="s">
        <v>190</v>
      </c>
      <c r="B937">
        <v>2013</v>
      </c>
      <c r="C937" t="s">
        <v>33</v>
      </c>
      <c r="D937" t="s">
        <v>1722</v>
      </c>
      <c r="E937">
        <v>4</v>
      </c>
      <c r="F937" t="s">
        <v>45</v>
      </c>
      <c r="G937" t="s">
        <v>1723</v>
      </c>
      <c r="H937" t="s">
        <v>84</v>
      </c>
      <c r="I937" t="s">
        <v>23</v>
      </c>
      <c r="J937" t="s">
        <v>119</v>
      </c>
      <c r="K937" t="s">
        <v>120</v>
      </c>
      <c r="L937" t="s">
        <v>121</v>
      </c>
      <c r="M937" t="s">
        <v>40</v>
      </c>
      <c r="N937" t="s">
        <v>74</v>
      </c>
      <c r="O937" t="s">
        <v>1614</v>
      </c>
      <c r="P937">
        <v>15.55</v>
      </c>
      <c r="Q937">
        <v>3</v>
      </c>
      <c r="R937">
        <v>0.2</v>
      </c>
      <c r="S937">
        <v>5.44</v>
      </c>
    </row>
    <row r="938" spans="1:19" x14ac:dyDescent="0.3">
      <c r="A938" t="s">
        <v>190</v>
      </c>
      <c r="B938">
        <v>2013</v>
      </c>
      <c r="C938" t="s">
        <v>33</v>
      </c>
      <c r="D938" t="s">
        <v>1722</v>
      </c>
      <c r="E938">
        <v>4</v>
      </c>
      <c r="F938" t="s">
        <v>45</v>
      </c>
      <c r="G938" t="s">
        <v>1723</v>
      </c>
      <c r="H938" t="s">
        <v>84</v>
      </c>
      <c r="I938" t="s">
        <v>23</v>
      </c>
      <c r="J938" t="s">
        <v>119</v>
      </c>
      <c r="K938" t="s">
        <v>120</v>
      </c>
      <c r="L938" t="s">
        <v>121</v>
      </c>
      <c r="M938" t="s">
        <v>40</v>
      </c>
      <c r="N938" t="s">
        <v>64</v>
      </c>
      <c r="O938" t="s">
        <v>415</v>
      </c>
      <c r="P938">
        <v>447.7</v>
      </c>
      <c r="Q938">
        <v>2</v>
      </c>
      <c r="R938">
        <v>0.2</v>
      </c>
      <c r="S938">
        <v>33.58</v>
      </c>
    </row>
    <row r="939" spans="1:19" x14ac:dyDescent="0.3">
      <c r="A939" s="1">
        <v>41801</v>
      </c>
      <c r="B939">
        <v>2014</v>
      </c>
      <c r="C939" t="s">
        <v>19</v>
      </c>
      <c r="D939" s="1">
        <v>41831</v>
      </c>
      <c r="E939">
        <v>1</v>
      </c>
      <c r="F939" t="s">
        <v>151</v>
      </c>
      <c r="G939" t="s">
        <v>170</v>
      </c>
      <c r="H939" t="s">
        <v>36</v>
      </c>
      <c r="I939" t="s">
        <v>23</v>
      </c>
      <c r="J939" t="s">
        <v>1726</v>
      </c>
      <c r="K939" t="s">
        <v>459</v>
      </c>
      <c r="L939" t="s">
        <v>39</v>
      </c>
      <c r="M939" t="s">
        <v>59</v>
      </c>
      <c r="N939" t="s">
        <v>133</v>
      </c>
      <c r="O939" t="s">
        <v>842</v>
      </c>
      <c r="P939">
        <v>159.99</v>
      </c>
      <c r="Q939">
        <v>1</v>
      </c>
      <c r="R939">
        <v>0</v>
      </c>
      <c r="S939">
        <v>54.4</v>
      </c>
    </row>
    <row r="940" spans="1:19" x14ac:dyDescent="0.3">
      <c r="A940" t="s">
        <v>1727</v>
      </c>
      <c r="B940">
        <v>2012</v>
      </c>
      <c r="C940" t="s">
        <v>76</v>
      </c>
      <c r="D940" t="s">
        <v>1728</v>
      </c>
      <c r="E940">
        <v>4</v>
      </c>
      <c r="F940" t="s">
        <v>45</v>
      </c>
      <c r="G940" t="s">
        <v>1729</v>
      </c>
      <c r="H940" t="s">
        <v>36</v>
      </c>
      <c r="I940" t="s">
        <v>23</v>
      </c>
      <c r="J940" t="s">
        <v>1730</v>
      </c>
      <c r="K940" t="s">
        <v>38</v>
      </c>
      <c r="L940" t="s">
        <v>39</v>
      </c>
      <c r="M940" t="s">
        <v>40</v>
      </c>
      <c r="N940" t="s">
        <v>74</v>
      </c>
      <c r="O940" t="s">
        <v>1731</v>
      </c>
      <c r="P940">
        <v>12.96</v>
      </c>
      <c r="Q940">
        <v>2</v>
      </c>
      <c r="R940">
        <v>0</v>
      </c>
      <c r="S940">
        <v>6.22</v>
      </c>
    </row>
    <row r="941" spans="1:19" x14ac:dyDescent="0.3">
      <c r="A941" t="s">
        <v>1727</v>
      </c>
      <c r="B941">
        <v>2012</v>
      </c>
      <c r="C941" t="s">
        <v>76</v>
      </c>
      <c r="D941" t="s">
        <v>1728</v>
      </c>
      <c r="E941">
        <v>4</v>
      </c>
      <c r="F941" t="s">
        <v>45</v>
      </c>
      <c r="G941" t="s">
        <v>1729</v>
      </c>
      <c r="H941" t="s">
        <v>36</v>
      </c>
      <c r="I941" t="s">
        <v>23</v>
      </c>
      <c r="J941" t="s">
        <v>1730</v>
      </c>
      <c r="K941" t="s">
        <v>38</v>
      </c>
      <c r="L941" t="s">
        <v>39</v>
      </c>
      <c r="M941" t="s">
        <v>40</v>
      </c>
      <c r="N941" t="s">
        <v>64</v>
      </c>
      <c r="O941" t="s">
        <v>1732</v>
      </c>
      <c r="P941">
        <v>134.47999999999999</v>
      </c>
      <c r="Q941">
        <v>4</v>
      </c>
      <c r="R941">
        <v>0</v>
      </c>
      <c r="S941">
        <v>34.96</v>
      </c>
    </row>
    <row r="942" spans="1:19" x14ac:dyDescent="0.3">
      <c r="A942" t="s">
        <v>1733</v>
      </c>
      <c r="B942">
        <v>2013</v>
      </c>
      <c r="C942" t="s">
        <v>33</v>
      </c>
      <c r="D942" t="s">
        <v>190</v>
      </c>
      <c r="E942">
        <v>1</v>
      </c>
      <c r="F942" t="s">
        <v>151</v>
      </c>
      <c r="G942" t="s">
        <v>1734</v>
      </c>
      <c r="H942" t="s">
        <v>36</v>
      </c>
      <c r="I942" t="s">
        <v>23</v>
      </c>
      <c r="J942" t="s">
        <v>105</v>
      </c>
      <c r="K942" t="s">
        <v>38</v>
      </c>
      <c r="L942" t="s">
        <v>39</v>
      </c>
      <c r="M942" t="s">
        <v>40</v>
      </c>
      <c r="N942" t="s">
        <v>74</v>
      </c>
      <c r="O942" t="s">
        <v>1735</v>
      </c>
      <c r="P942">
        <v>17.12</v>
      </c>
      <c r="Q942">
        <v>2</v>
      </c>
      <c r="R942">
        <v>0</v>
      </c>
      <c r="S942">
        <v>8.0500000000000007</v>
      </c>
    </row>
    <row r="943" spans="1:19" x14ac:dyDescent="0.3">
      <c r="A943" t="s">
        <v>109</v>
      </c>
      <c r="B943">
        <v>2013</v>
      </c>
      <c r="C943" t="s">
        <v>76</v>
      </c>
      <c r="D943" t="s">
        <v>692</v>
      </c>
      <c r="E943">
        <v>7</v>
      </c>
      <c r="F943" t="s">
        <v>45</v>
      </c>
      <c r="G943" t="s">
        <v>1702</v>
      </c>
      <c r="H943" t="s">
        <v>36</v>
      </c>
      <c r="I943" t="s">
        <v>23</v>
      </c>
      <c r="J943" t="s">
        <v>1736</v>
      </c>
      <c r="K943" t="s">
        <v>38</v>
      </c>
      <c r="L943" t="s">
        <v>39</v>
      </c>
      <c r="M943" t="s">
        <v>40</v>
      </c>
      <c r="N943" t="s">
        <v>62</v>
      </c>
      <c r="O943" t="s">
        <v>1737</v>
      </c>
      <c r="P943">
        <v>6.1</v>
      </c>
      <c r="Q943">
        <v>2</v>
      </c>
      <c r="R943">
        <v>0.2</v>
      </c>
      <c r="S943">
        <v>2.21</v>
      </c>
    </row>
    <row r="944" spans="1:19" x14ac:dyDescent="0.3">
      <c r="A944" t="s">
        <v>109</v>
      </c>
      <c r="B944">
        <v>2013</v>
      </c>
      <c r="C944" t="s">
        <v>76</v>
      </c>
      <c r="D944" t="s">
        <v>692</v>
      </c>
      <c r="E944">
        <v>7</v>
      </c>
      <c r="F944" t="s">
        <v>45</v>
      </c>
      <c r="G944" t="s">
        <v>1702</v>
      </c>
      <c r="H944" t="s">
        <v>36</v>
      </c>
      <c r="I944" t="s">
        <v>23</v>
      </c>
      <c r="J944" t="s">
        <v>1736</v>
      </c>
      <c r="K944" t="s">
        <v>38</v>
      </c>
      <c r="L944" t="s">
        <v>39</v>
      </c>
      <c r="M944" t="s">
        <v>27</v>
      </c>
      <c r="N944" t="s">
        <v>49</v>
      </c>
      <c r="O944" t="s">
        <v>50</v>
      </c>
      <c r="P944">
        <v>1114.27</v>
      </c>
      <c r="Q944">
        <v>4</v>
      </c>
      <c r="R944">
        <v>0.2</v>
      </c>
      <c r="S944">
        <v>41.79</v>
      </c>
    </row>
    <row r="945" spans="1:19" x14ac:dyDescent="0.3">
      <c r="A945" t="s">
        <v>1738</v>
      </c>
      <c r="B945">
        <v>2012</v>
      </c>
      <c r="C945" t="s">
        <v>96</v>
      </c>
      <c r="D945" s="1">
        <v>40974</v>
      </c>
      <c r="E945">
        <v>5</v>
      </c>
      <c r="F945" t="s">
        <v>45</v>
      </c>
      <c r="G945" t="s">
        <v>774</v>
      </c>
      <c r="H945" t="s">
        <v>22</v>
      </c>
      <c r="I945" t="s">
        <v>23</v>
      </c>
      <c r="J945" t="s">
        <v>78</v>
      </c>
      <c r="K945" t="s">
        <v>79</v>
      </c>
      <c r="L945" t="s">
        <v>39</v>
      </c>
      <c r="M945" t="s">
        <v>40</v>
      </c>
      <c r="N945" t="s">
        <v>74</v>
      </c>
      <c r="O945" t="s">
        <v>1229</v>
      </c>
      <c r="P945">
        <v>32.4</v>
      </c>
      <c r="Q945">
        <v>5</v>
      </c>
      <c r="R945">
        <v>0</v>
      </c>
      <c r="S945">
        <v>15.55</v>
      </c>
    </row>
    <row r="946" spans="1:19" x14ac:dyDescent="0.3">
      <c r="A946" t="s">
        <v>1738</v>
      </c>
      <c r="B946">
        <v>2012</v>
      </c>
      <c r="C946" t="s">
        <v>96</v>
      </c>
      <c r="D946" s="1">
        <v>40974</v>
      </c>
      <c r="E946">
        <v>5</v>
      </c>
      <c r="F946" t="s">
        <v>45</v>
      </c>
      <c r="G946" t="s">
        <v>774</v>
      </c>
      <c r="H946" t="s">
        <v>22</v>
      </c>
      <c r="I946" t="s">
        <v>23</v>
      </c>
      <c r="J946" t="s">
        <v>78</v>
      </c>
      <c r="K946" t="s">
        <v>79</v>
      </c>
      <c r="L946" t="s">
        <v>39</v>
      </c>
      <c r="M946" t="s">
        <v>40</v>
      </c>
      <c r="N946" t="s">
        <v>51</v>
      </c>
      <c r="O946" t="s">
        <v>1739</v>
      </c>
      <c r="P946">
        <v>540.57000000000005</v>
      </c>
      <c r="Q946">
        <v>3</v>
      </c>
      <c r="R946">
        <v>0</v>
      </c>
      <c r="S946">
        <v>140.55000000000001</v>
      </c>
    </row>
    <row r="947" spans="1:19" x14ac:dyDescent="0.3">
      <c r="A947" t="s">
        <v>1738</v>
      </c>
      <c r="B947">
        <v>2012</v>
      </c>
      <c r="C947" t="s">
        <v>96</v>
      </c>
      <c r="D947" s="1">
        <v>40974</v>
      </c>
      <c r="E947">
        <v>5</v>
      </c>
      <c r="F947" t="s">
        <v>45</v>
      </c>
      <c r="G947" t="s">
        <v>774</v>
      </c>
      <c r="H947" t="s">
        <v>22</v>
      </c>
      <c r="I947" t="s">
        <v>23</v>
      </c>
      <c r="J947" t="s">
        <v>78</v>
      </c>
      <c r="K947" t="s">
        <v>79</v>
      </c>
      <c r="L947" t="s">
        <v>39</v>
      </c>
      <c r="M947" t="s">
        <v>40</v>
      </c>
      <c r="N947" t="s">
        <v>62</v>
      </c>
      <c r="O947" t="s">
        <v>1740</v>
      </c>
      <c r="P947">
        <v>167.76</v>
      </c>
      <c r="Q947">
        <v>5</v>
      </c>
      <c r="R947">
        <v>0.2</v>
      </c>
      <c r="S947">
        <v>62.91</v>
      </c>
    </row>
    <row r="948" spans="1:19" x14ac:dyDescent="0.3">
      <c r="A948" t="s">
        <v>1741</v>
      </c>
      <c r="B948">
        <v>2012</v>
      </c>
      <c r="C948" t="s">
        <v>116</v>
      </c>
      <c r="D948" t="s">
        <v>1742</v>
      </c>
      <c r="E948">
        <v>2</v>
      </c>
      <c r="F948" t="s">
        <v>151</v>
      </c>
      <c r="G948" t="s">
        <v>1189</v>
      </c>
      <c r="H948" t="s">
        <v>22</v>
      </c>
      <c r="I948" t="s">
        <v>23</v>
      </c>
      <c r="J948" t="s">
        <v>1145</v>
      </c>
      <c r="K948" t="s">
        <v>236</v>
      </c>
      <c r="L948" t="s">
        <v>39</v>
      </c>
      <c r="M948" t="s">
        <v>27</v>
      </c>
      <c r="N948" t="s">
        <v>49</v>
      </c>
      <c r="O948" t="s">
        <v>1743</v>
      </c>
      <c r="P948">
        <v>393.17</v>
      </c>
      <c r="Q948">
        <v>3</v>
      </c>
      <c r="R948">
        <v>0.5</v>
      </c>
      <c r="S948">
        <v>-204.45</v>
      </c>
    </row>
    <row r="949" spans="1:19" x14ac:dyDescent="0.3">
      <c r="A949" t="s">
        <v>334</v>
      </c>
      <c r="B949">
        <v>2014</v>
      </c>
      <c r="C949" t="s">
        <v>19</v>
      </c>
      <c r="D949" s="1">
        <v>41710</v>
      </c>
      <c r="E949">
        <v>4</v>
      </c>
      <c r="F949" t="s">
        <v>45</v>
      </c>
      <c r="G949" t="s">
        <v>957</v>
      </c>
      <c r="H949" t="s">
        <v>84</v>
      </c>
      <c r="I949" t="s">
        <v>23</v>
      </c>
      <c r="J949" t="s">
        <v>119</v>
      </c>
      <c r="K949" t="s">
        <v>120</v>
      </c>
      <c r="L949" t="s">
        <v>121</v>
      </c>
      <c r="M949" t="s">
        <v>27</v>
      </c>
      <c r="N949" t="s">
        <v>55</v>
      </c>
      <c r="O949" t="s">
        <v>1744</v>
      </c>
      <c r="P949">
        <v>516.49</v>
      </c>
      <c r="Q949">
        <v>7</v>
      </c>
      <c r="R949">
        <v>0.2</v>
      </c>
      <c r="S949">
        <v>-12.91</v>
      </c>
    </row>
    <row r="950" spans="1:19" x14ac:dyDescent="0.3">
      <c r="A950" t="s">
        <v>334</v>
      </c>
      <c r="B950">
        <v>2014</v>
      </c>
      <c r="C950" t="s">
        <v>19</v>
      </c>
      <c r="D950" s="1">
        <v>41710</v>
      </c>
      <c r="E950">
        <v>4</v>
      </c>
      <c r="F950" t="s">
        <v>45</v>
      </c>
      <c r="G950" t="s">
        <v>957</v>
      </c>
      <c r="H950" t="s">
        <v>84</v>
      </c>
      <c r="I950" t="s">
        <v>23</v>
      </c>
      <c r="J950" t="s">
        <v>119</v>
      </c>
      <c r="K950" t="s">
        <v>120</v>
      </c>
      <c r="L950" t="s">
        <v>121</v>
      </c>
      <c r="M950" t="s">
        <v>27</v>
      </c>
      <c r="N950" t="s">
        <v>55</v>
      </c>
      <c r="O950" t="s">
        <v>611</v>
      </c>
      <c r="P950">
        <v>1007.23</v>
      </c>
      <c r="Q950">
        <v>6</v>
      </c>
      <c r="R950">
        <v>0.2</v>
      </c>
      <c r="S950">
        <v>75.540000000000006</v>
      </c>
    </row>
    <row r="951" spans="1:19" x14ac:dyDescent="0.3">
      <c r="A951" t="s">
        <v>334</v>
      </c>
      <c r="B951">
        <v>2014</v>
      </c>
      <c r="C951" t="s">
        <v>19</v>
      </c>
      <c r="D951" s="1">
        <v>41710</v>
      </c>
      <c r="E951">
        <v>4</v>
      </c>
      <c r="F951" t="s">
        <v>45</v>
      </c>
      <c r="G951" t="s">
        <v>957</v>
      </c>
      <c r="H951" t="s">
        <v>84</v>
      </c>
      <c r="I951" t="s">
        <v>23</v>
      </c>
      <c r="J951" t="s">
        <v>119</v>
      </c>
      <c r="K951" t="s">
        <v>120</v>
      </c>
      <c r="L951" t="s">
        <v>121</v>
      </c>
      <c r="M951" t="s">
        <v>27</v>
      </c>
      <c r="N951" t="s">
        <v>49</v>
      </c>
      <c r="O951" t="s">
        <v>1745</v>
      </c>
      <c r="P951">
        <v>2065.3200000000002</v>
      </c>
      <c r="Q951">
        <v>12</v>
      </c>
      <c r="R951">
        <v>0.4</v>
      </c>
      <c r="S951">
        <v>-619.6</v>
      </c>
    </row>
    <row r="952" spans="1:19" x14ac:dyDescent="0.3">
      <c r="A952" t="s">
        <v>334</v>
      </c>
      <c r="B952">
        <v>2014</v>
      </c>
      <c r="C952" t="s">
        <v>19</v>
      </c>
      <c r="D952" s="1">
        <v>41710</v>
      </c>
      <c r="E952">
        <v>4</v>
      </c>
      <c r="F952" t="s">
        <v>45</v>
      </c>
      <c r="G952" t="s">
        <v>957</v>
      </c>
      <c r="H952" t="s">
        <v>84</v>
      </c>
      <c r="I952" t="s">
        <v>23</v>
      </c>
      <c r="J952" t="s">
        <v>119</v>
      </c>
      <c r="K952" t="s">
        <v>120</v>
      </c>
      <c r="L952" t="s">
        <v>121</v>
      </c>
      <c r="M952" t="s">
        <v>40</v>
      </c>
      <c r="N952" t="s">
        <v>74</v>
      </c>
      <c r="O952" t="s">
        <v>1746</v>
      </c>
      <c r="P952">
        <v>15.55</v>
      </c>
      <c r="Q952">
        <v>3</v>
      </c>
      <c r="R952">
        <v>0.2</v>
      </c>
      <c r="S952">
        <v>5.44</v>
      </c>
    </row>
    <row r="953" spans="1:19" x14ac:dyDescent="0.3">
      <c r="A953" t="s">
        <v>334</v>
      </c>
      <c r="B953">
        <v>2014</v>
      </c>
      <c r="C953" t="s">
        <v>19</v>
      </c>
      <c r="D953" s="1">
        <v>41710</v>
      </c>
      <c r="E953">
        <v>4</v>
      </c>
      <c r="F953" t="s">
        <v>45</v>
      </c>
      <c r="G953" t="s">
        <v>957</v>
      </c>
      <c r="H953" t="s">
        <v>84</v>
      </c>
      <c r="I953" t="s">
        <v>23</v>
      </c>
      <c r="J953" t="s">
        <v>119</v>
      </c>
      <c r="K953" t="s">
        <v>120</v>
      </c>
      <c r="L953" t="s">
        <v>121</v>
      </c>
      <c r="M953" t="s">
        <v>40</v>
      </c>
      <c r="N953" t="s">
        <v>74</v>
      </c>
      <c r="O953" t="s">
        <v>608</v>
      </c>
      <c r="P953">
        <v>25.34</v>
      </c>
      <c r="Q953">
        <v>6</v>
      </c>
      <c r="R953">
        <v>0.2</v>
      </c>
      <c r="S953">
        <v>7.92</v>
      </c>
    </row>
    <row r="954" spans="1:19" x14ac:dyDescent="0.3">
      <c r="A954" s="1">
        <v>41733</v>
      </c>
      <c r="B954">
        <v>2014</v>
      </c>
      <c r="C954" t="s">
        <v>69</v>
      </c>
      <c r="D954" s="1">
        <v>41855</v>
      </c>
      <c r="E954">
        <v>4</v>
      </c>
      <c r="F954" t="s">
        <v>45</v>
      </c>
      <c r="G954" t="s">
        <v>1747</v>
      </c>
      <c r="H954" t="s">
        <v>22</v>
      </c>
      <c r="I954" t="s">
        <v>23</v>
      </c>
      <c r="J954" t="s">
        <v>119</v>
      </c>
      <c r="K954" t="s">
        <v>120</v>
      </c>
      <c r="L954" t="s">
        <v>121</v>
      </c>
      <c r="M954" t="s">
        <v>27</v>
      </c>
      <c r="N954" t="s">
        <v>55</v>
      </c>
      <c r="O954" t="s">
        <v>150</v>
      </c>
      <c r="P954">
        <v>25.47</v>
      </c>
      <c r="Q954">
        <v>4</v>
      </c>
      <c r="R954">
        <v>0.2</v>
      </c>
      <c r="S954">
        <v>7.64</v>
      </c>
    </row>
    <row r="955" spans="1:19" x14ac:dyDescent="0.3">
      <c r="A955" t="s">
        <v>663</v>
      </c>
      <c r="B955">
        <v>2014</v>
      </c>
      <c r="C955" t="s">
        <v>76</v>
      </c>
      <c r="D955" s="1">
        <v>42036</v>
      </c>
      <c r="E955">
        <v>4</v>
      </c>
      <c r="F955" t="s">
        <v>45</v>
      </c>
      <c r="G955" t="s">
        <v>1748</v>
      </c>
      <c r="H955" t="s">
        <v>22</v>
      </c>
      <c r="I955" t="s">
        <v>23</v>
      </c>
      <c r="J955" t="s">
        <v>1749</v>
      </c>
      <c r="K955" t="s">
        <v>86</v>
      </c>
      <c r="L955" t="s">
        <v>87</v>
      </c>
      <c r="M955" t="s">
        <v>40</v>
      </c>
      <c r="N955" t="s">
        <v>57</v>
      </c>
      <c r="O955" t="s">
        <v>585</v>
      </c>
      <c r="P955">
        <v>27.17</v>
      </c>
      <c r="Q955">
        <v>2</v>
      </c>
      <c r="R955">
        <v>0.2</v>
      </c>
      <c r="S955">
        <v>2.72</v>
      </c>
    </row>
    <row r="956" spans="1:19" x14ac:dyDescent="0.3">
      <c r="A956" t="s">
        <v>663</v>
      </c>
      <c r="B956">
        <v>2014</v>
      </c>
      <c r="C956" t="s">
        <v>76</v>
      </c>
      <c r="D956" s="1">
        <v>42036</v>
      </c>
      <c r="E956">
        <v>4</v>
      </c>
      <c r="F956" t="s">
        <v>45</v>
      </c>
      <c r="G956" t="s">
        <v>1748</v>
      </c>
      <c r="H956" t="s">
        <v>22</v>
      </c>
      <c r="I956" t="s">
        <v>23</v>
      </c>
      <c r="J956" t="s">
        <v>1749</v>
      </c>
      <c r="K956" t="s">
        <v>86</v>
      </c>
      <c r="L956" t="s">
        <v>87</v>
      </c>
      <c r="M956" t="s">
        <v>27</v>
      </c>
      <c r="N956" t="s">
        <v>28</v>
      </c>
      <c r="O956" t="s">
        <v>701</v>
      </c>
      <c r="P956">
        <v>78.849999999999994</v>
      </c>
      <c r="Q956">
        <v>2</v>
      </c>
      <c r="R956">
        <v>0.32</v>
      </c>
      <c r="S956">
        <v>-11.6</v>
      </c>
    </row>
    <row r="957" spans="1:19" x14ac:dyDescent="0.3">
      <c r="A957" s="1">
        <v>41651</v>
      </c>
      <c r="B957">
        <v>2014</v>
      </c>
      <c r="C957" t="s">
        <v>76</v>
      </c>
      <c r="D957" s="1">
        <v>41771</v>
      </c>
      <c r="E957">
        <v>4</v>
      </c>
      <c r="F957" t="s">
        <v>45</v>
      </c>
      <c r="G957" t="s">
        <v>1750</v>
      </c>
      <c r="H957" t="s">
        <v>22</v>
      </c>
      <c r="I957" t="s">
        <v>23</v>
      </c>
      <c r="J957" t="s">
        <v>249</v>
      </c>
      <c r="K957" t="s">
        <v>944</v>
      </c>
      <c r="L957" t="s">
        <v>26</v>
      </c>
      <c r="M957" t="s">
        <v>40</v>
      </c>
      <c r="N957" t="s">
        <v>51</v>
      </c>
      <c r="O957" t="s">
        <v>217</v>
      </c>
      <c r="P957">
        <v>173.8</v>
      </c>
      <c r="Q957">
        <v>5</v>
      </c>
      <c r="R957">
        <v>0</v>
      </c>
      <c r="S957">
        <v>43.45</v>
      </c>
    </row>
    <row r="958" spans="1:19" x14ac:dyDescent="0.3">
      <c r="A958" t="s">
        <v>1751</v>
      </c>
      <c r="B958">
        <v>2014</v>
      </c>
      <c r="C958" t="s">
        <v>96</v>
      </c>
      <c r="D958" t="s">
        <v>1752</v>
      </c>
      <c r="E958">
        <v>3</v>
      </c>
      <c r="F958" t="s">
        <v>20</v>
      </c>
      <c r="G958" t="s">
        <v>1753</v>
      </c>
      <c r="H958" t="s">
        <v>22</v>
      </c>
      <c r="I958" t="s">
        <v>23</v>
      </c>
      <c r="J958" t="s">
        <v>383</v>
      </c>
      <c r="K958" t="s">
        <v>236</v>
      </c>
      <c r="L958" t="s">
        <v>39</v>
      </c>
      <c r="M958" t="s">
        <v>59</v>
      </c>
      <c r="N958" t="s">
        <v>60</v>
      </c>
      <c r="O958" t="s">
        <v>1628</v>
      </c>
      <c r="P958">
        <v>29.59</v>
      </c>
      <c r="Q958">
        <v>1</v>
      </c>
      <c r="R958">
        <v>0.2</v>
      </c>
      <c r="S958">
        <v>2.59</v>
      </c>
    </row>
    <row r="959" spans="1:19" x14ac:dyDescent="0.3">
      <c r="A959" t="s">
        <v>1751</v>
      </c>
      <c r="B959">
        <v>2014</v>
      </c>
      <c r="C959" t="s">
        <v>96</v>
      </c>
      <c r="D959" t="s">
        <v>1752</v>
      </c>
      <c r="E959">
        <v>3</v>
      </c>
      <c r="F959" t="s">
        <v>20</v>
      </c>
      <c r="G959" t="s">
        <v>1753</v>
      </c>
      <c r="H959" t="s">
        <v>22</v>
      </c>
      <c r="I959" t="s">
        <v>23</v>
      </c>
      <c r="J959" t="s">
        <v>383</v>
      </c>
      <c r="K959" t="s">
        <v>236</v>
      </c>
      <c r="L959" t="s">
        <v>39</v>
      </c>
      <c r="M959" t="s">
        <v>40</v>
      </c>
      <c r="N959" t="s">
        <v>62</v>
      </c>
      <c r="O959" t="s">
        <v>1754</v>
      </c>
      <c r="P959">
        <v>4.75</v>
      </c>
      <c r="Q959">
        <v>2</v>
      </c>
      <c r="R959">
        <v>0.7</v>
      </c>
      <c r="S959">
        <v>-3.17</v>
      </c>
    </row>
    <row r="960" spans="1:19" x14ac:dyDescent="0.3">
      <c r="A960" t="s">
        <v>1751</v>
      </c>
      <c r="B960">
        <v>2014</v>
      </c>
      <c r="C960" t="s">
        <v>96</v>
      </c>
      <c r="D960" t="s">
        <v>1752</v>
      </c>
      <c r="E960">
        <v>3</v>
      </c>
      <c r="F960" t="s">
        <v>20</v>
      </c>
      <c r="G960" t="s">
        <v>1753</v>
      </c>
      <c r="H960" t="s">
        <v>22</v>
      </c>
      <c r="I960" t="s">
        <v>23</v>
      </c>
      <c r="J960" t="s">
        <v>383</v>
      </c>
      <c r="K960" t="s">
        <v>236</v>
      </c>
      <c r="L960" t="s">
        <v>39</v>
      </c>
      <c r="M960" t="s">
        <v>40</v>
      </c>
      <c r="N960" t="s">
        <v>74</v>
      </c>
      <c r="O960" t="s">
        <v>1755</v>
      </c>
      <c r="P960">
        <v>15.55</v>
      </c>
      <c r="Q960">
        <v>3</v>
      </c>
      <c r="R960">
        <v>0.2</v>
      </c>
      <c r="S960">
        <v>5.64</v>
      </c>
    </row>
    <row r="961" spans="1:19" x14ac:dyDescent="0.3">
      <c r="A961" t="s">
        <v>1207</v>
      </c>
      <c r="B961">
        <v>2012</v>
      </c>
      <c r="C961" t="s">
        <v>124</v>
      </c>
      <c r="D961" t="s">
        <v>1207</v>
      </c>
      <c r="E961">
        <v>0</v>
      </c>
      <c r="F961" t="s">
        <v>828</v>
      </c>
      <c r="G961" t="s">
        <v>1756</v>
      </c>
      <c r="H961" t="s">
        <v>22</v>
      </c>
      <c r="I961" t="s">
        <v>23</v>
      </c>
      <c r="J961" t="s">
        <v>1438</v>
      </c>
      <c r="K961" t="s">
        <v>38</v>
      </c>
      <c r="L961" t="s">
        <v>39</v>
      </c>
      <c r="M961" t="s">
        <v>27</v>
      </c>
      <c r="N961" t="s">
        <v>55</v>
      </c>
      <c r="O961" t="s">
        <v>1757</v>
      </c>
      <c r="P961">
        <v>204.6</v>
      </c>
      <c r="Q961">
        <v>2</v>
      </c>
      <c r="R961">
        <v>0</v>
      </c>
      <c r="S961">
        <v>53.2</v>
      </c>
    </row>
    <row r="962" spans="1:19" x14ac:dyDescent="0.3">
      <c r="A962" t="s">
        <v>1260</v>
      </c>
      <c r="B962">
        <v>2014</v>
      </c>
      <c r="C962" t="s">
        <v>19</v>
      </c>
      <c r="D962" t="s">
        <v>715</v>
      </c>
      <c r="E962">
        <v>5</v>
      </c>
      <c r="F962" t="s">
        <v>45</v>
      </c>
      <c r="G962" t="s">
        <v>1758</v>
      </c>
      <c r="H962" t="s">
        <v>36</v>
      </c>
      <c r="I962" t="s">
        <v>23</v>
      </c>
      <c r="J962" t="s">
        <v>105</v>
      </c>
      <c r="K962" t="s">
        <v>38</v>
      </c>
      <c r="L962" t="s">
        <v>39</v>
      </c>
      <c r="M962" t="s">
        <v>27</v>
      </c>
      <c r="N962" t="s">
        <v>30</v>
      </c>
      <c r="O962" t="s">
        <v>622</v>
      </c>
      <c r="P962">
        <v>321.57</v>
      </c>
      <c r="Q962">
        <v>2</v>
      </c>
      <c r="R962">
        <v>0.2</v>
      </c>
      <c r="S962">
        <v>28.14</v>
      </c>
    </row>
    <row r="963" spans="1:19" x14ac:dyDescent="0.3">
      <c r="A963" t="s">
        <v>864</v>
      </c>
      <c r="B963">
        <v>2012</v>
      </c>
      <c r="C963" t="s">
        <v>19</v>
      </c>
      <c r="D963" s="1">
        <v>40920</v>
      </c>
      <c r="E963">
        <v>4</v>
      </c>
      <c r="F963" t="s">
        <v>45</v>
      </c>
      <c r="G963" t="s">
        <v>1759</v>
      </c>
      <c r="H963" t="s">
        <v>84</v>
      </c>
      <c r="I963" t="s">
        <v>23</v>
      </c>
      <c r="J963" t="s">
        <v>1073</v>
      </c>
      <c r="K963" t="s">
        <v>1074</v>
      </c>
      <c r="L963" t="s">
        <v>26</v>
      </c>
      <c r="M963" t="s">
        <v>40</v>
      </c>
      <c r="N963" t="s">
        <v>62</v>
      </c>
      <c r="O963" t="s">
        <v>1760</v>
      </c>
      <c r="P963">
        <v>6.24</v>
      </c>
      <c r="Q963">
        <v>2</v>
      </c>
      <c r="R963">
        <v>0</v>
      </c>
      <c r="S963">
        <v>3.06</v>
      </c>
    </row>
    <row r="964" spans="1:19" x14ac:dyDescent="0.3">
      <c r="A964" s="1">
        <v>41314</v>
      </c>
      <c r="B964">
        <v>2013</v>
      </c>
      <c r="C964" t="s">
        <v>124</v>
      </c>
      <c r="D964" s="1">
        <v>41403</v>
      </c>
      <c r="E964">
        <v>3</v>
      </c>
      <c r="F964" t="s">
        <v>151</v>
      </c>
      <c r="G964" t="s">
        <v>347</v>
      </c>
      <c r="H964" t="s">
        <v>36</v>
      </c>
      <c r="I964" t="s">
        <v>23</v>
      </c>
      <c r="J964" t="s">
        <v>105</v>
      </c>
      <c r="K964" t="s">
        <v>38</v>
      </c>
      <c r="L964" t="s">
        <v>39</v>
      </c>
      <c r="M964" t="s">
        <v>40</v>
      </c>
      <c r="N964" t="s">
        <v>141</v>
      </c>
      <c r="O964" t="s">
        <v>1135</v>
      </c>
      <c r="P964">
        <v>21.88</v>
      </c>
      <c r="Q964">
        <v>2</v>
      </c>
      <c r="R964">
        <v>0</v>
      </c>
      <c r="S964">
        <v>10.94</v>
      </c>
    </row>
    <row r="965" spans="1:19" x14ac:dyDescent="0.3">
      <c r="A965" t="s">
        <v>1761</v>
      </c>
      <c r="B965">
        <v>2011</v>
      </c>
      <c r="C965" t="s">
        <v>124</v>
      </c>
      <c r="D965" t="s">
        <v>753</v>
      </c>
      <c r="E965">
        <v>2</v>
      </c>
      <c r="F965" t="s">
        <v>20</v>
      </c>
      <c r="G965" t="s">
        <v>1678</v>
      </c>
      <c r="H965" t="s">
        <v>22</v>
      </c>
      <c r="I965" t="s">
        <v>23</v>
      </c>
      <c r="J965" t="s">
        <v>1762</v>
      </c>
      <c r="K965" t="s">
        <v>48</v>
      </c>
      <c r="L965" t="s">
        <v>26</v>
      </c>
      <c r="M965" t="s">
        <v>40</v>
      </c>
      <c r="N965" t="s">
        <v>41</v>
      </c>
      <c r="O965" t="s">
        <v>1763</v>
      </c>
      <c r="P965">
        <v>4.6100000000000003</v>
      </c>
      <c r="Q965">
        <v>2</v>
      </c>
      <c r="R965">
        <v>0.2</v>
      </c>
      <c r="S965">
        <v>1.67</v>
      </c>
    </row>
    <row r="966" spans="1:19" x14ac:dyDescent="0.3">
      <c r="A966" s="1">
        <v>41916</v>
      </c>
      <c r="B966">
        <v>2014</v>
      </c>
      <c r="C966" t="s">
        <v>69</v>
      </c>
      <c r="D966" s="1">
        <v>41977</v>
      </c>
      <c r="E966">
        <v>2</v>
      </c>
      <c r="F966" t="s">
        <v>151</v>
      </c>
      <c r="G966" t="s">
        <v>1764</v>
      </c>
      <c r="H966" t="s">
        <v>84</v>
      </c>
      <c r="I966" t="s">
        <v>23</v>
      </c>
      <c r="J966" t="s">
        <v>208</v>
      </c>
      <c r="K966" t="s">
        <v>209</v>
      </c>
      <c r="L966" t="s">
        <v>121</v>
      </c>
      <c r="M966" t="s">
        <v>40</v>
      </c>
      <c r="N966" t="s">
        <v>41</v>
      </c>
      <c r="O966" t="s">
        <v>1765</v>
      </c>
      <c r="P966">
        <v>9.82</v>
      </c>
      <c r="Q966">
        <v>2</v>
      </c>
      <c r="R966">
        <v>0</v>
      </c>
      <c r="S966">
        <v>4.8099999999999996</v>
      </c>
    </row>
    <row r="967" spans="1:19" x14ac:dyDescent="0.3">
      <c r="A967" s="1">
        <v>41916</v>
      </c>
      <c r="B967">
        <v>2014</v>
      </c>
      <c r="C967" t="s">
        <v>69</v>
      </c>
      <c r="D967" s="1">
        <v>41977</v>
      </c>
      <c r="E967">
        <v>2</v>
      </c>
      <c r="F967" t="s">
        <v>151</v>
      </c>
      <c r="G967" t="s">
        <v>1764</v>
      </c>
      <c r="H967" t="s">
        <v>84</v>
      </c>
      <c r="I967" t="s">
        <v>23</v>
      </c>
      <c r="J967" t="s">
        <v>208</v>
      </c>
      <c r="K967" t="s">
        <v>209</v>
      </c>
      <c r="L967" t="s">
        <v>121</v>
      </c>
      <c r="M967" t="s">
        <v>40</v>
      </c>
      <c r="N967" t="s">
        <v>57</v>
      </c>
      <c r="O967" t="s">
        <v>924</v>
      </c>
      <c r="P967">
        <v>35.97</v>
      </c>
      <c r="Q967">
        <v>3</v>
      </c>
      <c r="R967">
        <v>0</v>
      </c>
      <c r="S967">
        <v>9.7100000000000009</v>
      </c>
    </row>
    <row r="968" spans="1:19" x14ac:dyDescent="0.3">
      <c r="A968" s="1">
        <v>41916</v>
      </c>
      <c r="B968">
        <v>2014</v>
      </c>
      <c r="C968" t="s">
        <v>69</v>
      </c>
      <c r="D968" s="1">
        <v>41977</v>
      </c>
      <c r="E968">
        <v>2</v>
      </c>
      <c r="F968" t="s">
        <v>151</v>
      </c>
      <c r="G968" t="s">
        <v>1764</v>
      </c>
      <c r="H968" t="s">
        <v>84</v>
      </c>
      <c r="I968" t="s">
        <v>23</v>
      </c>
      <c r="J968" t="s">
        <v>208</v>
      </c>
      <c r="K968" t="s">
        <v>209</v>
      </c>
      <c r="L968" t="s">
        <v>121</v>
      </c>
      <c r="M968" t="s">
        <v>40</v>
      </c>
      <c r="N968" t="s">
        <v>74</v>
      </c>
      <c r="O968" t="s">
        <v>1766</v>
      </c>
      <c r="P968">
        <v>12.96</v>
      </c>
      <c r="Q968">
        <v>2</v>
      </c>
      <c r="R968">
        <v>0</v>
      </c>
      <c r="S968">
        <v>6.22</v>
      </c>
    </row>
    <row r="969" spans="1:19" x14ac:dyDescent="0.3">
      <c r="A969" s="1">
        <v>41916</v>
      </c>
      <c r="B969">
        <v>2014</v>
      </c>
      <c r="C969" t="s">
        <v>69</v>
      </c>
      <c r="D969" s="1">
        <v>41977</v>
      </c>
      <c r="E969">
        <v>2</v>
      </c>
      <c r="F969" t="s">
        <v>151</v>
      </c>
      <c r="G969" t="s">
        <v>1764</v>
      </c>
      <c r="H969" t="s">
        <v>84</v>
      </c>
      <c r="I969" t="s">
        <v>23</v>
      </c>
      <c r="J969" t="s">
        <v>208</v>
      </c>
      <c r="K969" t="s">
        <v>209</v>
      </c>
      <c r="L969" t="s">
        <v>121</v>
      </c>
      <c r="M969" t="s">
        <v>40</v>
      </c>
      <c r="N969" t="s">
        <v>74</v>
      </c>
      <c r="O969" t="s">
        <v>1767</v>
      </c>
      <c r="P969">
        <v>191.6</v>
      </c>
      <c r="Q969">
        <v>4</v>
      </c>
      <c r="R969">
        <v>0</v>
      </c>
      <c r="S969">
        <v>91.97</v>
      </c>
    </row>
    <row r="970" spans="1:19" x14ac:dyDescent="0.3">
      <c r="A970" s="1">
        <v>41916</v>
      </c>
      <c r="B970">
        <v>2014</v>
      </c>
      <c r="C970" t="s">
        <v>69</v>
      </c>
      <c r="D970" s="1">
        <v>41977</v>
      </c>
      <c r="E970">
        <v>2</v>
      </c>
      <c r="F970" t="s">
        <v>151</v>
      </c>
      <c r="G970" t="s">
        <v>1764</v>
      </c>
      <c r="H970" t="s">
        <v>84</v>
      </c>
      <c r="I970" t="s">
        <v>23</v>
      </c>
      <c r="J970" t="s">
        <v>208</v>
      </c>
      <c r="K970" t="s">
        <v>209</v>
      </c>
      <c r="L970" t="s">
        <v>121</v>
      </c>
      <c r="M970" t="s">
        <v>40</v>
      </c>
      <c r="N970" t="s">
        <v>41</v>
      </c>
      <c r="O970" t="s">
        <v>1763</v>
      </c>
      <c r="P970">
        <v>8.64</v>
      </c>
      <c r="Q970">
        <v>3</v>
      </c>
      <c r="R970">
        <v>0</v>
      </c>
      <c r="S970">
        <v>4.2300000000000004</v>
      </c>
    </row>
    <row r="971" spans="1:19" x14ac:dyDescent="0.3">
      <c r="A971" s="1">
        <v>41916</v>
      </c>
      <c r="B971">
        <v>2014</v>
      </c>
      <c r="C971" t="s">
        <v>69</v>
      </c>
      <c r="D971" s="1">
        <v>41977</v>
      </c>
      <c r="E971">
        <v>2</v>
      </c>
      <c r="F971" t="s">
        <v>151</v>
      </c>
      <c r="G971" t="s">
        <v>1764</v>
      </c>
      <c r="H971" t="s">
        <v>84</v>
      </c>
      <c r="I971" t="s">
        <v>23</v>
      </c>
      <c r="J971" t="s">
        <v>208</v>
      </c>
      <c r="K971" t="s">
        <v>209</v>
      </c>
      <c r="L971" t="s">
        <v>121</v>
      </c>
      <c r="M971" t="s">
        <v>40</v>
      </c>
      <c r="N971" t="s">
        <v>51</v>
      </c>
      <c r="O971" t="s">
        <v>1768</v>
      </c>
      <c r="P971">
        <v>501.81</v>
      </c>
      <c r="Q971">
        <v>3</v>
      </c>
      <c r="R971">
        <v>0</v>
      </c>
      <c r="S971">
        <v>0</v>
      </c>
    </row>
    <row r="972" spans="1:19" x14ac:dyDescent="0.3">
      <c r="A972" t="s">
        <v>1769</v>
      </c>
      <c r="B972">
        <v>2011</v>
      </c>
      <c r="C972" t="s">
        <v>129</v>
      </c>
      <c r="D972" t="s">
        <v>1770</v>
      </c>
      <c r="E972">
        <v>2</v>
      </c>
      <c r="F972" t="s">
        <v>20</v>
      </c>
      <c r="G972" t="s">
        <v>626</v>
      </c>
      <c r="H972" t="s">
        <v>22</v>
      </c>
      <c r="I972" t="s">
        <v>23</v>
      </c>
      <c r="J972" t="s">
        <v>119</v>
      </c>
      <c r="K972" t="s">
        <v>120</v>
      </c>
      <c r="L972" t="s">
        <v>121</v>
      </c>
      <c r="M972" t="s">
        <v>27</v>
      </c>
      <c r="N972" t="s">
        <v>55</v>
      </c>
      <c r="O972" t="s">
        <v>1771</v>
      </c>
      <c r="P972">
        <v>127.1</v>
      </c>
      <c r="Q972">
        <v>6</v>
      </c>
      <c r="R972">
        <v>0.2</v>
      </c>
      <c r="S972">
        <v>28.6</v>
      </c>
    </row>
    <row r="973" spans="1:19" x14ac:dyDescent="0.3">
      <c r="A973" t="s">
        <v>1769</v>
      </c>
      <c r="B973">
        <v>2011</v>
      </c>
      <c r="C973" t="s">
        <v>129</v>
      </c>
      <c r="D973" t="s">
        <v>1770</v>
      </c>
      <c r="E973">
        <v>2</v>
      </c>
      <c r="F973" t="s">
        <v>20</v>
      </c>
      <c r="G973" t="s">
        <v>626</v>
      </c>
      <c r="H973" t="s">
        <v>22</v>
      </c>
      <c r="I973" t="s">
        <v>23</v>
      </c>
      <c r="J973" t="s">
        <v>119</v>
      </c>
      <c r="K973" t="s">
        <v>120</v>
      </c>
      <c r="L973" t="s">
        <v>121</v>
      </c>
      <c r="M973" t="s">
        <v>59</v>
      </c>
      <c r="N973" t="s">
        <v>60</v>
      </c>
      <c r="O973" t="s">
        <v>775</v>
      </c>
      <c r="P973">
        <v>124.2</v>
      </c>
      <c r="Q973">
        <v>3</v>
      </c>
      <c r="R973">
        <v>0.4</v>
      </c>
      <c r="S973">
        <v>-31.05</v>
      </c>
    </row>
    <row r="974" spans="1:19" x14ac:dyDescent="0.3">
      <c r="A974" t="s">
        <v>1769</v>
      </c>
      <c r="B974">
        <v>2011</v>
      </c>
      <c r="C974" t="s">
        <v>129</v>
      </c>
      <c r="D974" t="s">
        <v>1770</v>
      </c>
      <c r="E974">
        <v>2</v>
      </c>
      <c r="F974" t="s">
        <v>20</v>
      </c>
      <c r="G974" t="s">
        <v>626</v>
      </c>
      <c r="H974" t="s">
        <v>22</v>
      </c>
      <c r="I974" t="s">
        <v>23</v>
      </c>
      <c r="J974" t="s">
        <v>119</v>
      </c>
      <c r="K974" t="s">
        <v>120</v>
      </c>
      <c r="L974" t="s">
        <v>121</v>
      </c>
      <c r="M974" t="s">
        <v>40</v>
      </c>
      <c r="N974" t="s">
        <v>62</v>
      </c>
      <c r="O974" t="s">
        <v>1394</v>
      </c>
      <c r="P974">
        <v>18.59</v>
      </c>
      <c r="Q974">
        <v>2</v>
      </c>
      <c r="R974">
        <v>0.7</v>
      </c>
      <c r="S974">
        <v>-13.63</v>
      </c>
    </row>
    <row r="975" spans="1:19" x14ac:dyDescent="0.3">
      <c r="A975" t="s">
        <v>1769</v>
      </c>
      <c r="B975">
        <v>2011</v>
      </c>
      <c r="C975" t="s">
        <v>129</v>
      </c>
      <c r="D975" t="s">
        <v>1770</v>
      </c>
      <c r="E975">
        <v>2</v>
      </c>
      <c r="F975" t="s">
        <v>20</v>
      </c>
      <c r="G975" t="s">
        <v>626</v>
      </c>
      <c r="H975" t="s">
        <v>22</v>
      </c>
      <c r="I975" t="s">
        <v>23</v>
      </c>
      <c r="J975" t="s">
        <v>119</v>
      </c>
      <c r="K975" t="s">
        <v>120</v>
      </c>
      <c r="L975" t="s">
        <v>121</v>
      </c>
      <c r="M975" t="s">
        <v>40</v>
      </c>
      <c r="N975" t="s">
        <v>41</v>
      </c>
      <c r="O975" t="s">
        <v>770</v>
      </c>
      <c r="P975">
        <v>30.07</v>
      </c>
      <c r="Q975">
        <v>3</v>
      </c>
      <c r="R975">
        <v>0.2</v>
      </c>
      <c r="S975">
        <v>10.15</v>
      </c>
    </row>
    <row r="976" spans="1:19" x14ac:dyDescent="0.3">
      <c r="A976" s="1">
        <v>41800</v>
      </c>
      <c r="B976">
        <v>2014</v>
      </c>
      <c r="C976" t="s">
        <v>43</v>
      </c>
      <c r="D976" s="1">
        <v>41892</v>
      </c>
      <c r="E976">
        <v>3</v>
      </c>
      <c r="F976" t="s">
        <v>20</v>
      </c>
      <c r="G976" t="s">
        <v>1448</v>
      </c>
      <c r="H976" t="s">
        <v>84</v>
      </c>
      <c r="I976" t="s">
        <v>23</v>
      </c>
      <c r="J976" t="s">
        <v>208</v>
      </c>
      <c r="K976" t="s">
        <v>209</v>
      </c>
      <c r="L976" t="s">
        <v>121</v>
      </c>
      <c r="M976" t="s">
        <v>59</v>
      </c>
      <c r="N976" t="s">
        <v>60</v>
      </c>
      <c r="O976" t="s">
        <v>1124</v>
      </c>
      <c r="P976">
        <v>160.93</v>
      </c>
      <c r="Q976">
        <v>7</v>
      </c>
      <c r="R976">
        <v>0</v>
      </c>
      <c r="S976">
        <v>3.22</v>
      </c>
    </row>
    <row r="977" spans="1:19" x14ac:dyDescent="0.3">
      <c r="A977" s="1">
        <v>41800</v>
      </c>
      <c r="B977">
        <v>2014</v>
      </c>
      <c r="C977" t="s">
        <v>43</v>
      </c>
      <c r="D977" s="1">
        <v>41892</v>
      </c>
      <c r="E977">
        <v>3</v>
      </c>
      <c r="F977" t="s">
        <v>20</v>
      </c>
      <c r="G977" t="s">
        <v>1448</v>
      </c>
      <c r="H977" t="s">
        <v>84</v>
      </c>
      <c r="I977" t="s">
        <v>23</v>
      </c>
      <c r="J977" t="s">
        <v>208</v>
      </c>
      <c r="K977" t="s">
        <v>209</v>
      </c>
      <c r="L977" t="s">
        <v>121</v>
      </c>
      <c r="M977" t="s">
        <v>40</v>
      </c>
      <c r="N977" t="s">
        <v>62</v>
      </c>
      <c r="O977" t="s">
        <v>888</v>
      </c>
      <c r="P977">
        <v>75.790000000000006</v>
      </c>
      <c r="Q977">
        <v>3</v>
      </c>
      <c r="R977">
        <v>0.2</v>
      </c>
      <c r="S977">
        <v>25.58</v>
      </c>
    </row>
    <row r="978" spans="1:19" x14ac:dyDescent="0.3">
      <c r="A978" s="1">
        <v>41919</v>
      </c>
      <c r="B978">
        <v>2014</v>
      </c>
      <c r="C978" t="s">
        <v>116</v>
      </c>
      <c r="D978" t="s">
        <v>1772</v>
      </c>
      <c r="E978">
        <v>6</v>
      </c>
      <c r="F978" t="s">
        <v>45</v>
      </c>
      <c r="G978" t="s">
        <v>801</v>
      </c>
      <c r="H978" t="s">
        <v>22</v>
      </c>
      <c r="I978" t="s">
        <v>23</v>
      </c>
      <c r="J978" t="s">
        <v>306</v>
      </c>
      <c r="K978" t="s">
        <v>307</v>
      </c>
      <c r="L978" t="s">
        <v>39</v>
      </c>
      <c r="M978" t="s">
        <v>40</v>
      </c>
      <c r="N978" t="s">
        <v>62</v>
      </c>
      <c r="O978" t="s">
        <v>1773</v>
      </c>
      <c r="P978">
        <v>1.08</v>
      </c>
      <c r="Q978">
        <v>2</v>
      </c>
      <c r="R978">
        <v>0.7</v>
      </c>
      <c r="S978">
        <v>-0.79</v>
      </c>
    </row>
    <row r="979" spans="1:19" x14ac:dyDescent="0.3">
      <c r="A979" s="1">
        <v>41852</v>
      </c>
      <c r="B979">
        <v>2014</v>
      </c>
      <c r="C979" t="s">
        <v>129</v>
      </c>
      <c r="D979" s="1">
        <v>41944</v>
      </c>
      <c r="E979">
        <v>3</v>
      </c>
      <c r="F979" t="s">
        <v>151</v>
      </c>
      <c r="G979" t="s">
        <v>1560</v>
      </c>
      <c r="H979" t="s">
        <v>36</v>
      </c>
      <c r="I979" t="s">
        <v>23</v>
      </c>
      <c r="J979" t="s">
        <v>588</v>
      </c>
      <c r="K979" t="s">
        <v>188</v>
      </c>
      <c r="L979" t="s">
        <v>87</v>
      </c>
      <c r="M979" t="s">
        <v>59</v>
      </c>
      <c r="N979" t="s">
        <v>465</v>
      </c>
      <c r="O979" t="s">
        <v>466</v>
      </c>
      <c r="P979">
        <v>3059.98</v>
      </c>
      <c r="Q979">
        <v>2</v>
      </c>
      <c r="R979">
        <v>0.1</v>
      </c>
      <c r="S979">
        <v>680</v>
      </c>
    </row>
    <row r="980" spans="1:19" x14ac:dyDescent="0.3">
      <c r="A980" t="s">
        <v>1081</v>
      </c>
      <c r="B980">
        <v>2013</v>
      </c>
      <c r="C980" t="s">
        <v>96</v>
      </c>
      <c r="D980" s="1">
        <v>41280</v>
      </c>
      <c r="E980">
        <v>1</v>
      </c>
      <c r="F980" t="s">
        <v>151</v>
      </c>
      <c r="G980" t="s">
        <v>1774</v>
      </c>
      <c r="H980" t="s">
        <v>22</v>
      </c>
      <c r="I980" t="s">
        <v>23</v>
      </c>
      <c r="J980" t="s">
        <v>368</v>
      </c>
      <c r="K980" t="s">
        <v>73</v>
      </c>
      <c r="L980" t="s">
        <v>26</v>
      </c>
      <c r="M980" t="s">
        <v>40</v>
      </c>
      <c r="N980" t="s">
        <v>62</v>
      </c>
      <c r="O980" t="s">
        <v>1252</v>
      </c>
      <c r="P980">
        <v>3.28</v>
      </c>
      <c r="Q980">
        <v>2</v>
      </c>
      <c r="R980">
        <v>0.7</v>
      </c>
      <c r="S980">
        <v>-2.63</v>
      </c>
    </row>
    <row r="981" spans="1:19" x14ac:dyDescent="0.3">
      <c r="A981" s="1">
        <v>41164</v>
      </c>
      <c r="B981">
        <v>2012</v>
      </c>
      <c r="C981" t="s">
        <v>76</v>
      </c>
      <c r="D981" s="1">
        <v>41255</v>
      </c>
      <c r="E981">
        <v>3</v>
      </c>
      <c r="F981" t="s">
        <v>151</v>
      </c>
      <c r="G981" t="s">
        <v>258</v>
      </c>
      <c r="H981" t="s">
        <v>36</v>
      </c>
      <c r="I981" t="s">
        <v>23</v>
      </c>
      <c r="J981" t="s">
        <v>356</v>
      </c>
      <c r="K981" t="s">
        <v>201</v>
      </c>
      <c r="L981" t="s">
        <v>87</v>
      </c>
      <c r="M981" t="s">
        <v>40</v>
      </c>
      <c r="N981" t="s">
        <v>74</v>
      </c>
      <c r="O981" t="s">
        <v>1775</v>
      </c>
      <c r="P981">
        <v>34.020000000000003</v>
      </c>
      <c r="Q981">
        <v>3</v>
      </c>
      <c r="R981">
        <v>0</v>
      </c>
      <c r="S981">
        <v>16.670000000000002</v>
      </c>
    </row>
    <row r="982" spans="1:19" x14ac:dyDescent="0.3">
      <c r="A982" s="1">
        <v>41374</v>
      </c>
      <c r="B982">
        <v>2013</v>
      </c>
      <c r="C982" t="s">
        <v>43</v>
      </c>
      <c r="D982" s="1">
        <v>41527</v>
      </c>
      <c r="E982">
        <v>5</v>
      </c>
      <c r="F982" t="s">
        <v>45</v>
      </c>
      <c r="G982" t="s">
        <v>126</v>
      </c>
      <c r="H982" t="s">
        <v>22</v>
      </c>
      <c r="I982" t="s">
        <v>23</v>
      </c>
      <c r="J982" t="s">
        <v>208</v>
      </c>
      <c r="K982" t="s">
        <v>209</v>
      </c>
      <c r="L982" t="s">
        <v>121</v>
      </c>
      <c r="M982" t="s">
        <v>27</v>
      </c>
      <c r="N982" t="s">
        <v>30</v>
      </c>
      <c r="O982" t="s">
        <v>1518</v>
      </c>
      <c r="P982">
        <v>599.29</v>
      </c>
      <c r="Q982">
        <v>6</v>
      </c>
      <c r="R982">
        <v>0.1</v>
      </c>
      <c r="S982">
        <v>93.22</v>
      </c>
    </row>
    <row r="983" spans="1:19" x14ac:dyDescent="0.3">
      <c r="A983" s="1">
        <v>40858</v>
      </c>
      <c r="B983">
        <v>2011</v>
      </c>
      <c r="C983" t="s">
        <v>19</v>
      </c>
      <c r="D983" t="s">
        <v>1776</v>
      </c>
      <c r="E983">
        <v>3</v>
      </c>
      <c r="F983" t="s">
        <v>20</v>
      </c>
      <c r="G983" t="s">
        <v>1777</v>
      </c>
      <c r="H983" t="s">
        <v>22</v>
      </c>
      <c r="I983" t="s">
        <v>23</v>
      </c>
      <c r="J983" t="s">
        <v>935</v>
      </c>
      <c r="K983" t="s">
        <v>329</v>
      </c>
      <c r="L983" t="s">
        <v>39</v>
      </c>
      <c r="M983" t="s">
        <v>40</v>
      </c>
      <c r="N983" t="s">
        <v>57</v>
      </c>
      <c r="O983" t="s">
        <v>1778</v>
      </c>
      <c r="P983">
        <v>3.39</v>
      </c>
      <c r="Q983">
        <v>1</v>
      </c>
      <c r="R983">
        <v>0.2</v>
      </c>
      <c r="S983">
        <v>0.81</v>
      </c>
    </row>
    <row r="984" spans="1:19" x14ac:dyDescent="0.3">
      <c r="A984" s="1">
        <v>40858</v>
      </c>
      <c r="B984">
        <v>2011</v>
      </c>
      <c r="C984" t="s">
        <v>19</v>
      </c>
      <c r="D984" t="s">
        <v>1776</v>
      </c>
      <c r="E984">
        <v>3</v>
      </c>
      <c r="F984" t="s">
        <v>20</v>
      </c>
      <c r="G984" t="s">
        <v>1777</v>
      </c>
      <c r="H984" t="s">
        <v>22</v>
      </c>
      <c r="I984" t="s">
        <v>23</v>
      </c>
      <c r="J984" t="s">
        <v>935</v>
      </c>
      <c r="K984" t="s">
        <v>329</v>
      </c>
      <c r="L984" t="s">
        <v>39</v>
      </c>
      <c r="M984" t="s">
        <v>59</v>
      </c>
      <c r="N984" t="s">
        <v>60</v>
      </c>
      <c r="O984" t="s">
        <v>1779</v>
      </c>
      <c r="P984">
        <v>559.98</v>
      </c>
      <c r="Q984">
        <v>2</v>
      </c>
      <c r="R984">
        <v>0.2</v>
      </c>
      <c r="S984">
        <v>56</v>
      </c>
    </row>
    <row r="985" spans="1:19" x14ac:dyDescent="0.3">
      <c r="A985" s="1">
        <v>40858</v>
      </c>
      <c r="B985">
        <v>2011</v>
      </c>
      <c r="C985" t="s">
        <v>19</v>
      </c>
      <c r="D985" t="s">
        <v>1776</v>
      </c>
      <c r="E985">
        <v>3</v>
      </c>
      <c r="F985" t="s">
        <v>20</v>
      </c>
      <c r="G985" t="s">
        <v>1777</v>
      </c>
      <c r="H985" t="s">
        <v>22</v>
      </c>
      <c r="I985" t="s">
        <v>23</v>
      </c>
      <c r="J985" t="s">
        <v>935</v>
      </c>
      <c r="K985" t="s">
        <v>329</v>
      </c>
      <c r="L985" t="s">
        <v>39</v>
      </c>
      <c r="M985" t="s">
        <v>27</v>
      </c>
      <c r="N985" t="s">
        <v>30</v>
      </c>
      <c r="O985" t="s">
        <v>1580</v>
      </c>
      <c r="P985">
        <v>603.91999999999996</v>
      </c>
      <c r="Q985">
        <v>5</v>
      </c>
      <c r="R985">
        <v>0.2</v>
      </c>
      <c r="S985">
        <v>75.489999999999995</v>
      </c>
    </row>
    <row r="986" spans="1:19" x14ac:dyDescent="0.3">
      <c r="A986" t="s">
        <v>1417</v>
      </c>
      <c r="B986">
        <v>2014</v>
      </c>
      <c r="C986" t="s">
        <v>124</v>
      </c>
      <c r="D986" s="1">
        <v>41800</v>
      </c>
      <c r="E986">
        <v>6</v>
      </c>
      <c r="F986" t="s">
        <v>45</v>
      </c>
      <c r="G986" t="s">
        <v>1780</v>
      </c>
      <c r="H986" t="s">
        <v>84</v>
      </c>
      <c r="I986" t="s">
        <v>23</v>
      </c>
      <c r="J986" t="s">
        <v>417</v>
      </c>
      <c r="K986" t="s">
        <v>86</v>
      </c>
      <c r="L986" t="s">
        <v>87</v>
      </c>
      <c r="M986" t="s">
        <v>40</v>
      </c>
      <c r="N986" t="s">
        <v>41</v>
      </c>
      <c r="O986" t="s">
        <v>1524</v>
      </c>
      <c r="P986">
        <v>7.97</v>
      </c>
      <c r="Q986">
        <v>2</v>
      </c>
      <c r="R986">
        <v>0.2</v>
      </c>
      <c r="S986">
        <v>2.59</v>
      </c>
    </row>
    <row r="987" spans="1:19" x14ac:dyDescent="0.3">
      <c r="A987" t="s">
        <v>1417</v>
      </c>
      <c r="B987">
        <v>2014</v>
      </c>
      <c r="C987" t="s">
        <v>124</v>
      </c>
      <c r="D987" s="1">
        <v>41800</v>
      </c>
      <c r="E987">
        <v>6</v>
      </c>
      <c r="F987" t="s">
        <v>45</v>
      </c>
      <c r="G987" t="s">
        <v>1780</v>
      </c>
      <c r="H987" t="s">
        <v>84</v>
      </c>
      <c r="I987" t="s">
        <v>23</v>
      </c>
      <c r="J987" t="s">
        <v>417</v>
      </c>
      <c r="K987" t="s">
        <v>86</v>
      </c>
      <c r="L987" t="s">
        <v>87</v>
      </c>
      <c r="M987" t="s">
        <v>40</v>
      </c>
      <c r="N987" t="s">
        <v>141</v>
      </c>
      <c r="O987" t="s">
        <v>1781</v>
      </c>
      <c r="P987">
        <v>27.97</v>
      </c>
      <c r="Q987">
        <v>4</v>
      </c>
      <c r="R987">
        <v>0.2</v>
      </c>
      <c r="S987">
        <v>9.44</v>
      </c>
    </row>
    <row r="988" spans="1:19" x14ac:dyDescent="0.3">
      <c r="A988" t="s">
        <v>1417</v>
      </c>
      <c r="B988">
        <v>2014</v>
      </c>
      <c r="C988" t="s">
        <v>124</v>
      </c>
      <c r="D988" s="1">
        <v>41800</v>
      </c>
      <c r="E988">
        <v>6</v>
      </c>
      <c r="F988" t="s">
        <v>45</v>
      </c>
      <c r="G988" t="s">
        <v>1780</v>
      </c>
      <c r="H988" t="s">
        <v>84</v>
      </c>
      <c r="I988" t="s">
        <v>23</v>
      </c>
      <c r="J988" t="s">
        <v>417</v>
      </c>
      <c r="K988" t="s">
        <v>86</v>
      </c>
      <c r="L988" t="s">
        <v>87</v>
      </c>
      <c r="M988" t="s">
        <v>59</v>
      </c>
      <c r="N988" t="s">
        <v>465</v>
      </c>
      <c r="O988" t="s">
        <v>1782</v>
      </c>
      <c r="P988">
        <v>336.51</v>
      </c>
      <c r="Q988">
        <v>3</v>
      </c>
      <c r="R988">
        <v>0.4</v>
      </c>
      <c r="S988">
        <v>44.87</v>
      </c>
    </row>
    <row r="989" spans="1:19" x14ac:dyDescent="0.3">
      <c r="A989" s="1">
        <v>41185</v>
      </c>
      <c r="B989">
        <v>2012</v>
      </c>
      <c r="C989" t="s">
        <v>177</v>
      </c>
      <c r="D989" s="1">
        <v>41185</v>
      </c>
      <c r="E989">
        <v>0</v>
      </c>
      <c r="F989" t="s">
        <v>828</v>
      </c>
      <c r="G989" t="s">
        <v>1783</v>
      </c>
      <c r="H989" t="s">
        <v>22</v>
      </c>
      <c r="I989" t="s">
        <v>23</v>
      </c>
      <c r="J989" t="s">
        <v>149</v>
      </c>
      <c r="K989" t="s">
        <v>86</v>
      </c>
      <c r="L989" t="s">
        <v>87</v>
      </c>
      <c r="M989" t="s">
        <v>40</v>
      </c>
      <c r="N989" t="s">
        <v>62</v>
      </c>
      <c r="O989" t="s">
        <v>1784</v>
      </c>
      <c r="P989">
        <v>1.1100000000000001</v>
      </c>
      <c r="Q989">
        <v>2</v>
      </c>
      <c r="R989">
        <v>0.8</v>
      </c>
      <c r="S989">
        <v>-1.89</v>
      </c>
    </row>
    <row r="990" spans="1:19" x14ac:dyDescent="0.3">
      <c r="A990" t="s">
        <v>1785</v>
      </c>
      <c r="B990">
        <v>2014</v>
      </c>
      <c r="C990" t="s">
        <v>96</v>
      </c>
      <c r="D990" t="s">
        <v>1786</v>
      </c>
      <c r="E990">
        <v>5</v>
      </c>
      <c r="F990" t="s">
        <v>45</v>
      </c>
      <c r="G990" t="s">
        <v>1040</v>
      </c>
      <c r="H990" t="s">
        <v>36</v>
      </c>
      <c r="I990" t="s">
        <v>23</v>
      </c>
      <c r="J990" t="s">
        <v>987</v>
      </c>
      <c r="K990" t="s">
        <v>209</v>
      </c>
      <c r="L990" t="s">
        <v>121</v>
      </c>
      <c r="M990" t="s">
        <v>27</v>
      </c>
      <c r="N990" t="s">
        <v>55</v>
      </c>
      <c r="O990" t="s">
        <v>1381</v>
      </c>
      <c r="P990">
        <v>520.04999999999995</v>
      </c>
      <c r="Q990">
        <v>5</v>
      </c>
      <c r="R990">
        <v>0</v>
      </c>
      <c r="S990">
        <v>72.81</v>
      </c>
    </row>
    <row r="991" spans="1:19" x14ac:dyDescent="0.3">
      <c r="A991" t="s">
        <v>1785</v>
      </c>
      <c r="B991">
        <v>2014</v>
      </c>
      <c r="C991" t="s">
        <v>96</v>
      </c>
      <c r="D991" t="s">
        <v>1786</v>
      </c>
      <c r="E991">
        <v>5</v>
      </c>
      <c r="F991" t="s">
        <v>45</v>
      </c>
      <c r="G991" t="s">
        <v>1040</v>
      </c>
      <c r="H991" t="s">
        <v>36</v>
      </c>
      <c r="I991" t="s">
        <v>23</v>
      </c>
      <c r="J991" t="s">
        <v>987</v>
      </c>
      <c r="K991" t="s">
        <v>209</v>
      </c>
      <c r="L991" t="s">
        <v>121</v>
      </c>
      <c r="M991" t="s">
        <v>40</v>
      </c>
      <c r="N991" t="s">
        <v>57</v>
      </c>
      <c r="O991" t="s">
        <v>1787</v>
      </c>
      <c r="P991">
        <v>17.97</v>
      </c>
      <c r="Q991">
        <v>3</v>
      </c>
      <c r="R991">
        <v>0</v>
      </c>
      <c r="S991">
        <v>5.21</v>
      </c>
    </row>
    <row r="992" spans="1:19" x14ac:dyDescent="0.3">
      <c r="A992" t="s">
        <v>1788</v>
      </c>
      <c r="B992">
        <v>2012</v>
      </c>
      <c r="C992" t="s">
        <v>177</v>
      </c>
      <c r="D992" t="s">
        <v>1789</v>
      </c>
      <c r="E992">
        <v>2</v>
      </c>
      <c r="F992" t="s">
        <v>20</v>
      </c>
      <c r="G992" t="s">
        <v>1790</v>
      </c>
      <c r="H992" t="s">
        <v>84</v>
      </c>
      <c r="I992" t="s">
        <v>23</v>
      </c>
      <c r="J992" t="s">
        <v>965</v>
      </c>
      <c r="K992" t="s">
        <v>48</v>
      </c>
      <c r="L992" t="s">
        <v>26</v>
      </c>
      <c r="M992" t="s">
        <v>27</v>
      </c>
      <c r="N992" t="s">
        <v>30</v>
      </c>
      <c r="O992" t="s">
        <v>735</v>
      </c>
      <c r="P992">
        <v>1166.92</v>
      </c>
      <c r="Q992">
        <v>5</v>
      </c>
      <c r="R992">
        <v>0.2</v>
      </c>
      <c r="S992">
        <v>131.28</v>
      </c>
    </row>
    <row r="993" spans="1:19" x14ac:dyDescent="0.3">
      <c r="A993" s="1">
        <v>41556</v>
      </c>
      <c r="B993">
        <v>2013</v>
      </c>
      <c r="C993" t="s">
        <v>124</v>
      </c>
      <c r="D993" s="1">
        <v>41617</v>
      </c>
      <c r="E993">
        <v>2</v>
      </c>
      <c r="F993" t="s">
        <v>151</v>
      </c>
      <c r="G993" t="s">
        <v>382</v>
      </c>
      <c r="H993" t="s">
        <v>22</v>
      </c>
      <c r="I993" t="s">
        <v>23</v>
      </c>
      <c r="J993" t="s">
        <v>208</v>
      </c>
      <c r="K993" t="s">
        <v>209</v>
      </c>
      <c r="L993" t="s">
        <v>121</v>
      </c>
      <c r="M993" t="s">
        <v>40</v>
      </c>
      <c r="N993" t="s">
        <v>62</v>
      </c>
      <c r="O993" t="s">
        <v>1493</v>
      </c>
      <c r="P993">
        <v>14.62</v>
      </c>
      <c r="Q993">
        <v>2</v>
      </c>
      <c r="R993">
        <v>0.2</v>
      </c>
      <c r="S993">
        <v>5.48</v>
      </c>
    </row>
    <row r="994" spans="1:19" x14ac:dyDescent="0.3">
      <c r="A994" t="s">
        <v>1791</v>
      </c>
      <c r="B994">
        <v>2013</v>
      </c>
      <c r="C994" t="s">
        <v>103</v>
      </c>
      <c r="D994" t="s">
        <v>1451</v>
      </c>
      <c r="E994">
        <v>1</v>
      </c>
      <c r="F994" t="s">
        <v>151</v>
      </c>
      <c r="G994" t="s">
        <v>1459</v>
      </c>
      <c r="H994" t="s">
        <v>22</v>
      </c>
      <c r="I994" t="s">
        <v>23</v>
      </c>
      <c r="J994" t="s">
        <v>435</v>
      </c>
      <c r="K994" t="s">
        <v>38</v>
      </c>
      <c r="L994" t="s">
        <v>39</v>
      </c>
      <c r="M994" t="s">
        <v>40</v>
      </c>
      <c r="N994" t="s">
        <v>210</v>
      </c>
      <c r="O994" t="s">
        <v>698</v>
      </c>
      <c r="P994">
        <v>10.23</v>
      </c>
      <c r="Q994">
        <v>3</v>
      </c>
      <c r="R994">
        <v>0</v>
      </c>
      <c r="S994">
        <v>4.91</v>
      </c>
    </row>
    <row r="995" spans="1:19" x14ac:dyDescent="0.3">
      <c r="A995" t="s">
        <v>1791</v>
      </c>
      <c r="B995">
        <v>2013</v>
      </c>
      <c r="C995" t="s">
        <v>103</v>
      </c>
      <c r="D995" t="s">
        <v>1451</v>
      </c>
      <c r="E995">
        <v>1</v>
      </c>
      <c r="F995" t="s">
        <v>151</v>
      </c>
      <c r="G995" t="s">
        <v>1459</v>
      </c>
      <c r="H995" t="s">
        <v>22</v>
      </c>
      <c r="I995" t="s">
        <v>23</v>
      </c>
      <c r="J995" t="s">
        <v>435</v>
      </c>
      <c r="K995" t="s">
        <v>38</v>
      </c>
      <c r="L995" t="s">
        <v>39</v>
      </c>
      <c r="M995" t="s">
        <v>40</v>
      </c>
      <c r="N995" t="s">
        <v>74</v>
      </c>
      <c r="O995" t="s">
        <v>1792</v>
      </c>
      <c r="P995">
        <v>154.9</v>
      </c>
      <c r="Q995">
        <v>5</v>
      </c>
      <c r="R995">
        <v>0</v>
      </c>
      <c r="S995">
        <v>69.709999999999994</v>
      </c>
    </row>
    <row r="996" spans="1:19" x14ac:dyDescent="0.3">
      <c r="A996" t="s">
        <v>1793</v>
      </c>
      <c r="B996">
        <v>2011</v>
      </c>
      <c r="C996" t="s">
        <v>96</v>
      </c>
      <c r="D996" t="s">
        <v>1794</v>
      </c>
      <c r="E996">
        <v>4</v>
      </c>
      <c r="F996" t="s">
        <v>45</v>
      </c>
      <c r="G996" t="s">
        <v>1795</v>
      </c>
      <c r="H996" t="s">
        <v>36</v>
      </c>
      <c r="I996" t="s">
        <v>23</v>
      </c>
      <c r="J996" t="s">
        <v>1796</v>
      </c>
      <c r="K996" t="s">
        <v>241</v>
      </c>
      <c r="L996" t="s">
        <v>26</v>
      </c>
      <c r="M996" t="s">
        <v>40</v>
      </c>
      <c r="N996" t="s">
        <v>62</v>
      </c>
      <c r="O996" t="s">
        <v>1797</v>
      </c>
      <c r="P996">
        <v>2715.93</v>
      </c>
      <c r="Q996">
        <v>7</v>
      </c>
      <c r="R996">
        <v>0</v>
      </c>
      <c r="S996">
        <v>1276.49</v>
      </c>
    </row>
    <row r="997" spans="1:19" x14ac:dyDescent="0.3">
      <c r="A997" t="s">
        <v>1793</v>
      </c>
      <c r="B997">
        <v>2011</v>
      </c>
      <c r="C997" t="s">
        <v>96</v>
      </c>
      <c r="D997" t="s">
        <v>1794</v>
      </c>
      <c r="E997">
        <v>4</v>
      </c>
      <c r="F997" t="s">
        <v>45</v>
      </c>
      <c r="G997" t="s">
        <v>1795</v>
      </c>
      <c r="H997" t="s">
        <v>36</v>
      </c>
      <c r="I997" t="s">
        <v>23</v>
      </c>
      <c r="J997" t="s">
        <v>1796</v>
      </c>
      <c r="K997" t="s">
        <v>241</v>
      </c>
      <c r="L997" t="s">
        <v>26</v>
      </c>
      <c r="M997" t="s">
        <v>59</v>
      </c>
      <c r="N997" t="s">
        <v>60</v>
      </c>
      <c r="O997" t="s">
        <v>1798</v>
      </c>
      <c r="P997">
        <v>617.97</v>
      </c>
      <c r="Q997">
        <v>3</v>
      </c>
      <c r="R997">
        <v>0</v>
      </c>
      <c r="S997">
        <v>173.03</v>
      </c>
    </row>
    <row r="998" spans="1:19" x14ac:dyDescent="0.3">
      <c r="A998" t="s">
        <v>1799</v>
      </c>
      <c r="B998">
        <v>2012</v>
      </c>
      <c r="C998" t="s">
        <v>43</v>
      </c>
      <c r="D998" s="1">
        <v>40979</v>
      </c>
      <c r="E998">
        <v>6</v>
      </c>
      <c r="F998" t="s">
        <v>45</v>
      </c>
      <c r="G998" t="s">
        <v>1800</v>
      </c>
      <c r="H998" t="s">
        <v>22</v>
      </c>
      <c r="I998" t="s">
        <v>23</v>
      </c>
      <c r="J998" t="s">
        <v>24</v>
      </c>
      <c r="K998" t="s">
        <v>25</v>
      </c>
      <c r="L998" t="s">
        <v>26</v>
      </c>
      <c r="M998" t="s">
        <v>40</v>
      </c>
      <c r="N998" t="s">
        <v>141</v>
      </c>
      <c r="O998" t="s">
        <v>1801</v>
      </c>
      <c r="P998">
        <v>10.67</v>
      </c>
      <c r="Q998">
        <v>1</v>
      </c>
      <c r="R998">
        <v>0</v>
      </c>
      <c r="S998">
        <v>4.91</v>
      </c>
    </row>
    <row r="999" spans="1:19" x14ac:dyDescent="0.3">
      <c r="A999" t="s">
        <v>1799</v>
      </c>
      <c r="B999">
        <v>2012</v>
      </c>
      <c r="C999" t="s">
        <v>43</v>
      </c>
      <c r="D999" s="1">
        <v>40979</v>
      </c>
      <c r="E999">
        <v>6</v>
      </c>
      <c r="F999" t="s">
        <v>45</v>
      </c>
      <c r="G999" t="s">
        <v>1800</v>
      </c>
      <c r="H999" t="s">
        <v>22</v>
      </c>
      <c r="I999" t="s">
        <v>23</v>
      </c>
      <c r="J999" t="s">
        <v>24</v>
      </c>
      <c r="K999" t="s">
        <v>25</v>
      </c>
      <c r="L999" t="s">
        <v>26</v>
      </c>
      <c r="M999" t="s">
        <v>40</v>
      </c>
      <c r="N999" t="s">
        <v>51</v>
      </c>
      <c r="O999" t="s">
        <v>1802</v>
      </c>
      <c r="P999">
        <v>36.630000000000003</v>
      </c>
      <c r="Q999">
        <v>3</v>
      </c>
      <c r="R999">
        <v>0</v>
      </c>
      <c r="S999">
        <v>9.89</v>
      </c>
    </row>
    <row r="1000" spans="1:19" x14ac:dyDescent="0.3">
      <c r="A1000" t="s">
        <v>1799</v>
      </c>
      <c r="B1000">
        <v>2012</v>
      </c>
      <c r="C1000" t="s">
        <v>43</v>
      </c>
      <c r="D1000" s="1">
        <v>40979</v>
      </c>
      <c r="E1000">
        <v>6</v>
      </c>
      <c r="F1000" t="s">
        <v>45</v>
      </c>
      <c r="G1000" t="s">
        <v>1800</v>
      </c>
      <c r="H1000" t="s">
        <v>22</v>
      </c>
      <c r="I1000" t="s">
        <v>23</v>
      </c>
      <c r="J1000" t="s">
        <v>24</v>
      </c>
      <c r="K1000" t="s">
        <v>25</v>
      </c>
      <c r="L1000" t="s">
        <v>26</v>
      </c>
      <c r="M1000" t="s">
        <v>27</v>
      </c>
      <c r="N1000" t="s">
        <v>55</v>
      </c>
      <c r="O1000" t="s">
        <v>1803</v>
      </c>
      <c r="P1000">
        <v>24.1</v>
      </c>
      <c r="Q1000">
        <v>5</v>
      </c>
      <c r="R1000">
        <v>0</v>
      </c>
      <c r="S1000">
        <v>9.16</v>
      </c>
    </row>
    <row r="1001" spans="1:19" x14ac:dyDescent="0.3">
      <c r="A1001" t="s">
        <v>1799</v>
      </c>
      <c r="B1001">
        <v>2012</v>
      </c>
      <c r="C1001" t="s">
        <v>43</v>
      </c>
      <c r="D1001" s="1">
        <v>40979</v>
      </c>
      <c r="E1001">
        <v>6</v>
      </c>
      <c r="F1001" t="s">
        <v>45</v>
      </c>
      <c r="G1001" t="s">
        <v>1800</v>
      </c>
      <c r="H1001" t="s">
        <v>22</v>
      </c>
      <c r="I1001" t="s">
        <v>23</v>
      </c>
      <c r="J1001" t="s">
        <v>24</v>
      </c>
      <c r="K1001" t="s">
        <v>25</v>
      </c>
      <c r="L1001" t="s">
        <v>26</v>
      </c>
      <c r="M1001" t="s">
        <v>27</v>
      </c>
      <c r="N1001" t="s">
        <v>55</v>
      </c>
      <c r="O1001" t="s">
        <v>734</v>
      </c>
      <c r="P1001">
        <v>33.11</v>
      </c>
      <c r="Q1001">
        <v>7</v>
      </c>
      <c r="R1001">
        <v>0</v>
      </c>
      <c r="S1001">
        <v>12.91</v>
      </c>
    </row>
    <row r="1002" spans="1:19" x14ac:dyDescent="0.3">
      <c r="A1002" t="s">
        <v>1804</v>
      </c>
      <c r="B1002">
        <v>2013</v>
      </c>
      <c r="C1002" t="s">
        <v>19</v>
      </c>
      <c r="D1002" t="s">
        <v>1805</v>
      </c>
      <c r="E1002">
        <v>4</v>
      </c>
      <c r="F1002" t="s">
        <v>45</v>
      </c>
      <c r="G1002" t="s">
        <v>511</v>
      </c>
      <c r="H1002" t="s">
        <v>84</v>
      </c>
      <c r="I1002" t="s">
        <v>23</v>
      </c>
      <c r="J1002" t="s">
        <v>1325</v>
      </c>
      <c r="K1002" t="s">
        <v>79</v>
      </c>
      <c r="L1002" t="s">
        <v>39</v>
      </c>
      <c r="M1002" t="s">
        <v>40</v>
      </c>
      <c r="N1002" t="s">
        <v>57</v>
      </c>
      <c r="O1002" t="s">
        <v>1586</v>
      </c>
      <c r="P1002">
        <v>44.02</v>
      </c>
      <c r="Q1002">
        <v>2</v>
      </c>
      <c r="R1002">
        <v>0</v>
      </c>
      <c r="S1002">
        <v>11.45</v>
      </c>
    </row>
    <row r="1003" spans="1:19" x14ac:dyDescent="0.3">
      <c r="A1003" t="s">
        <v>667</v>
      </c>
      <c r="B1003">
        <v>2012</v>
      </c>
      <c r="C1003" t="s">
        <v>116</v>
      </c>
      <c r="D1003" t="s">
        <v>667</v>
      </c>
      <c r="E1003">
        <v>0</v>
      </c>
      <c r="F1003" t="s">
        <v>828</v>
      </c>
      <c r="G1003" t="s">
        <v>1526</v>
      </c>
      <c r="H1003" t="s">
        <v>22</v>
      </c>
      <c r="I1003" t="s">
        <v>23</v>
      </c>
      <c r="J1003" t="s">
        <v>208</v>
      </c>
      <c r="K1003" t="s">
        <v>209</v>
      </c>
      <c r="L1003" t="s">
        <v>121</v>
      </c>
      <c r="M1003" t="s">
        <v>59</v>
      </c>
      <c r="N1003" t="s">
        <v>133</v>
      </c>
      <c r="O1003" t="s">
        <v>1806</v>
      </c>
      <c r="P1003">
        <v>2309.65</v>
      </c>
      <c r="Q1003">
        <v>7</v>
      </c>
      <c r="R1003">
        <v>0</v>
      </c>
      <c r="S1003">
        <v>762.18</v>
      </c>
    </row>
    <row r="1004" spans="1:19" x14ac:dyDescent="0.3">
      <c r="A1004" t="s">
        <v>667</v>
      </c>
      <c r="B1004">
        <v>2012</v>
      </c>
      <c r="C1004" t="s">
        <v>116</v>
      </c>
      <c r="D1004" t="s">
        <v>667</v>
      </c>
      <c r="E1004">
        <v>0</v>
      </c>
      <c r="F1004" t="s">
        <v>828</v>
      </c>
      <c r="G1004" t="s">
        <v>1526</v>
      </c>
      <c r="H1004" t="s">
        <v>22</v>
      </c>
      <c r="I1004" t="s">
        <v>23</v>
      </c>
      <c r="J1004" t="s">
        <v>208</v>
      </c>
      <c r="K1004" t="s">
        <v>209</v>
      </c>
      <c r="L1004" t="s">
        <v>121</v>
      </c>
      <c r="M1004" t="s">
        <v>27</v>
      </c>
      <c r="N1004" t="s">
        <v>49</v>
      </c>
      <c r="O1004" t="s">
        <v>688</v>
      </c>
      <c r="P1004">
        <v>1090.78</v>
      </c>
      <c r="Q1004">
        <v>7</v>
      </c>
      <c r="R1004">
        <v>0.4</v>
      </c>
      <c r="S1004">
        <v>-290.88</v>
      </c>
    </row>
    <row r="1005" spans="1:19" x14ac:dyDescent="0.3">
      <c r="A1005" t="s">
        <v>667</v>
      </c>
      <c r="B1005">
        <v>2012</v>
      </c>
      <c r="C1005" t="s">
        <v>116</v>
      </c>
      <c r="D1005" t="s">
        <v>667</v>
      </c>
      <c r="E1005">
        <v>0</v>
      </c>
      <c r="F1005" t="s">
        <v>828</v>
      </c>
      <c r="G1005" t="s">
        <v>1526</v>
      </c>
      <c r="H1005" t="s">
        <v>22</v>
      </c>
      <c r="I1005" t="s">
        <v>23</v>
      </c>
      <c r="J1005" t="s">
        <v>208</v>
      </c>
      <c r="K1005" t="s">
        <v>209</v>
      </c>
      <c r="L1005" t="s">
        <v>121</v>
      </c>
      <c r="M1005" t="s">
        <v>40</v>
      </c>
      <c r="N1005" t="s">
        <v>74</v>
      </c>
      <c r="O1005" t="s">
        <v>1766</v>
      </c>
      <c r="P1005">
        <v>19.440000000000001</v>
      </c>
      <c r="Q1005">
        <v>3</v>
      </c>
      <c r="R1005">
        <v>0</v>
      </c>
      <c r="S1005">
        <v>9.33</v>
      </c>
    </row>
    <row r="1006" spans="1:19" x14ac:dyDescent="0.3">
      <c r="A1006" t="s">
        <v>1807</v>
      </c>
      <c r="B1006">
        <v>2012</v>
      </c>
      <c r="C1006" t="s">
        <v>103</v>
      </c>
      <c r="D1006" t="s">
        <v>1475</v>
      </c>
      <c r="E1006">
        <v>4</v>
      </c>
      <c r="F1006" t="s">
        <v>45</v>
      </c>
      <c r="G1006" t="s">
        <v>1808</v>
      </c>
      <c r="H1006" t="s">
        <v>22</v>
      </c>
      <c r="I1006" t="s">
        <v>23</v>
      </c>
      <c r="J1006" t="s">
        <v>1809</v>
      </c>
      <c r="K1006" t="s">
        <v>38</v>
      </c>
      <c r="L1006" t="s">
        <v>39</v>
      </c>
      <c r="M1006" t="s">
        <v>40</v>
      </c>
      <c r="N1006" t="s">
        <v>51</v>
      </c>
      <c r="O1006" t="s">
        <v>1810</v>
      </c>
      <c r="P1006">
        <v>484.65</v>
      </c>
      <c r="Q1006">
        <v>3</v>
      </c>
      <c r="R1006">
        <v>0</v>
      </c>
      <c r="S1006">
        <v>92.08</v>
      </c>
    </row>
    <row r="1007" spans="1:19" x14ac:dyDescent="0.3">
      <c r="A1007" t="s">
        <v>325</v>
      </c>
      <c r="B1007">
        <v>2012</v>
      </c>
      <c r="C1007" t="s">
        <v>19</v>
      </c>
      <c r="D1007" t="s">
        <v>326</v>
      </c>
      <c r="E1007">
        <v>4</v>
      </c>
      <c r="F1007" t="s">
        <v>45</v>
      </c>
      <c r="G1007" t="s">
        <v>1519</v>
      </c>
      <c r="H1007" t="s">
        <v>22</v>
      </c>
      <c r="I1007" t="s">
        <v>23</v>
      </c>
      <c r="J1007" t="s">
        <v>965</v>
      </c>
      <c r="K1007" t="s">
        <v>73</v>
      </c>
      <c r="L1007" t="s">
        <v>26</v>
      </c>
      <c r="M1007" t="s">
        <v>40</v>
      </c>
      <c r="N1007" t="s">
        <v>74</v>
      </c>
      <c r="O1007" t="s">
        <v>1646</v>
      </c>
      <c r="P1007">
        <v>115.3</v>
      </c>
      <c r="Q1007">
        <v>3</v>
      </c>
      <c r="R1007">
        <v>0.2</v>
      </c>
      <c r="S1007">
        <v>40.35</v>
      </c>
    </row>
    <row r="1008" spans="1:19" x14ac:dyDescent="0.3">
      <c r="A1008" s="1">
        <v>41071</v>
      </c>
      <c r="B1008">
        <v>2012</v>
      </c>
      <c r="C1008" t="s">
        <v>19</v>
      </c>
      <c r="D1008" s="1">
        <v>41163</v>
      </c>
      <c r="E1008">
        <v>3</v>
      </c>
      <c r="F1008" t="s">
        <v>151</v>
      </c>
      <c r="G1008" t="s">
        <v>1811</v>
      </c>
      <c r="H1008" t="s">
        <v>22</v>
      </c>
      <c r="I1008" t="s">
        <v>23</v>
      </c>
      <c r="J1008" t="s">
        <v>430</v>
      </c>
      <c r="K1008" t="s">
        <v>236</v>
      </c>
      <c r="L1008" t="s">
        <v>39</v>
      </c>
      <c r="M1008" t="s">
        <v>40</v>
      </c>
      <c r="N1008" t="s">
        <v>141</v>
      </c>
      <c r="O1008" t="s">
        <v>359</v>
      </c>
      <c r="P1008">
        <v>7.08</v>
      </c>
      <c r="Q1008">
        <v>3</v>
      </c>
      <c r="R1008">
        <v>0.2</v>
      </c>
      <c r="S1008">
        <v>2.48</v>
      </c>
    </row>
    <row r="1009" spans="1:19" x14ac:dyDescent="0.3">
      <c r="A1009" s="1">
        <v>41071</v>
      </c>
      <c r="B1009">
        <v>2012</v>
      </c>
      <c r="C1009" t="s">
        <v>19</v>
      </c>
      <c r="D1009" s="1">
        <v>41163</v>
      </c>
      <c r="E1009">
        <v>3</v>
      </c>
      <c r="F1009" t="s">
        <v>151</v>
      </c>
      <c r="G1009" t="s">
        <v>1811</v>
      </c>
      <c r="H1009" t="s">
        <v>22</v>
      </c>
      <c r="I1009" t="s">
        <v>23</v>
      </c>
      <c r="J1009" t="s">
        <v>430</v>
      </c>
      <c r="K1009" t="s">
        <v>236</v>
      </c>
      <c r="L1009" t="s">
        <v>39</v>
      </c>
      <c r="M1009" t="s">
        <v>40</v>
      </c>
      <c r="N1009" t="s">
        <v>62</v>
      </c>
      <c r="O1009" t="s">
        <v>1812</v>
      </c>
      <c r="P1009">
        <v>4.4000000000000004</v>
      </c>
      <c r="Q1009">
        <v>3</v>
      </c>
      <c r="R1009">
        <v>0.7</v>
      </c>
      <c r="S1009">
        <v>-3.52</v>
      </c>
    </row>
    <row r="1010" spans="1:19" x14ac:dyDescent="0.3">
      <c r="A1010" t="s">
        <v>1813</v>
      </c>
      <c r="B1010">
        <v>2014</v>
      </c>
      <c r="C1010" t="s">
        <v>76</v>
      </c>
      <c r="D1010" s="1">
        <v>42036</v>
      </c>
      <c r="E1010">
        <v>6</v>
      </c>
      <c r="F1010" t="s">
        <v>45</v>
      </c>
      <c r="G1010" t="s">
        <v>766</v>
      </c>
      <c r="H1010" t="s">
        <v>22</v>
      </c>
      <c r="I1010" t="s">
        <v>23</v>
      </c>
      <c r="J1010" t="s">
        <v>1371</v>
      </c>
      <c r="K1010" t="s">
        <v>351</v>
      </c>
      <c r="L1010" t="s">
        <v>87</v>
      </c>
      <c r="M1010" t="s">
        <v>40</v>
      </c>
      <c r="N1010" t="s">
        <v>74</v>
      </c>
      <c r="O1010" t="s">
        <v>1032</v>
      </c>
      <c r="P1010">
        <v>44.75</v>
      </c>
      <c r="Q1010">
        <v>5</v>
      </c>
      <c r="R1010">
        <v>0</v>
      </c>
      <c r="S1010">
        <v>20.59</v>
      </c>
    </row>
    <row r="1011" spans="1:19" x14ac:dyDescent="0.3">
      <c r="A1011" s="1">
        <v>41678</v>
      </c>
      <c r="B1011">
        <v>2014</v>
      </c>
      <c r="C1011" t="s">
        <v>103</v>
      </c>
      <c r="D1011" s="1">
        <v>41737</v>
      </c>
      <c r="E1011">
        <v>2</v>
      </c>
      <c r="F1011" t="s">
        <v>151</v>
      </c>
      <c r="G1011" t="s">
        <v>1284</v>
      </c>
      <c r="H1011" t="s">
        <v>22</v>
      </c>
      <c r="I1011" t="s">
        <v>23</v>
      </c>
      <c r="J1011" t="s">
        <v>232</v>
      </c>
      <c r="K1011" t="s">
        <v>166</v>
      </c>
      <c r="L1011" t="s">
        <v>87</v>
      </c>
      <c r="M1011" t="s">
        <v>59</v>
      </c>
      <c r="N1011" t="s">
        <v>60</v>
      </c>
      <c r="O1011" t="s">
        <v>471</v>
      </c>
      <c r="P1011">
        <v>95.98</v>
      </c>
      <c r="Q1011">
        <v>2</v>
      </c>
      <c r="R1011">
        <v>0.2</v>
      </c>
      <c r="S1011">
        <v>6</v>
      </c>
    </row>
  </sheetData>
  <autoFilter ref="A1:S1" xr:uid="{EB92FB78-5A97-4C35-B9D2-6D6B82D1D77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6BA52-0A20-470A-88E3-97C9E520ED73}">
  <dimension ref="A20:A26"/>
  <sheetViews>
    <sheetView tabSelected="1" zoomScale="101" zoomScaleNormal="99" workbookViewId="0">
      <selection activeCell="K1" sqref="K1:K1048576"/>
    </sheetView>
  </sheetViews>
  <sheetFormatPr defaultRowHeight="14.4" x14ac:dyDescent="0.3"/>
  <sheetData>
    <row r="20" customFormat="1" x14ac:dyDescent="0.3"/>
    <row r="26"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Database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Harshit Maharaj</dc:creator>
  <cp:lastModifiedBy>Harshit Maharaj</cp:lastModifiedBy>
  <dcterms:created xsi:type="dcterms:W3CDTF">2026-07-28T10:11:31Z</dcterms:created>
  <dcterms:modified xsi:type="dcterms:W3CDTF">2026-08-02T09:53:41Z</dcterms:modified>
</cp:coreProperties>
</file>